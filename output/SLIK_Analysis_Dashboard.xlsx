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1"/>
  </bookViews>
  <sheets>
    <sheet name="_src" sheetId="1" state="hidden" r:id="rId1"/>
    <sheet name="1. Ringkasan" sheetId="2" r:id="rId2"/>
    <sheet name="2. Matrix Report" sheetId="3" r:id="rId3"/>
    <sheet name="3. Segmentasi" sheetId="4" r:id="rId4"/>
    <sheet name="4. Scorecard" sheetId="5" r:id="rId5"/>
    <sheet name="5. Tren Portofolio" sheetId="6" r:id="rId6"/>
    <sheet name="6. Demografi" sheetId="7" r:id="rId7"/>
    <sheet name="7. Simulasi Kebijakan" sheetId="8" r:id="rId8"/>
    <sheet name="Kamus Metrik" sheetId="9" r:id="rId9"/>
    <sheet name="Catatan &amp; Asumsi" sheetId="10" r:id="rId10"/>
    <sheet name="data_agregat" sheetId="11" r:id="rId11"/>
    <sheet name="data_customer" sheetId="12" r:id="rId12"/>
    <sheet name="data_tren" sheetId="13" r:id="rId13"/>
  </sheets>
  <definedNames>
    <definedName name="_xlnm._FilterDatabase" localSheetId="10" hidden="1">data_agregat!$A$1:$Y$588</definedName>
    <definedName name="_xlnm._FilterDatabase" localSheetId="11" hidden="1">data_customer!$A$1:$Z$588</definedName>
    <definedName name="_xlnm._FilterDatabase" localSheetId="12" hidden="1">data_tren!$A$1:$L$25</definedName>
    <definedName name="_xlnm.Print_Area" localSheetId="1">'1. Ringkasan'!$A$1:$N$34</definedName>
    <definedName name="_xlnm.Print_Area" localSheetId="2">'2. Matrix Report'!$A$1:$N$34</definedName>
    <definedName name="_xlnm.Print_Area" localSheetId="3">'3. Segmentasi'!$A$1:$N$34</definedName>
    <definedName name="_xlnm.Print_Area" localSheetId="4">'4. Scorecard'!$A$1:$N$34</definedName>
    <definedName name="_xlnm.Print_Area" localSheetId="5">'5. Tren Portofolio'!$A$1:$N$32</definedName>
    <definedName name="_xlnm.Print_Area" localSheetId="6">'6. Demografi'!$A$1:$N$34</definedName>
    <definedName name="_xlnm.Print_Area" localSheetId="7">'7. Simulasi Kebijakan'!$A$1:$N$34</definedName>
    <definedName name="_xlnm.Print_Area" localSheetId="0">_src!$A$1</definedName>
    <definedName name="_xlnm.Print_Area" localSheetId="9">'Catatan &amp; Asumsi'!$A$1:$N$43</definedName>
    <definedName name="_xlnm.Print_Area" localSheetId="8">'Kamus Metrik'!$A$1:$N$48</definedName>
    <definedName name="_xlnm.Print_Titles" localSheetId="8">'Kamus Metrik'!$7:$7</definedName>
  </definedNames>
  <calcPr calcId="124519" fullCalcOnLoad="1"/>
</workbook>
</file>

<file path=xl/comments1.xml><?xml version="1.0" encoding="utf-8"?>
<comments xmlns="http://schemas.openxmlformats.org/spreadsheetml/2006/main">
  <authors>
    <author/>
  </authors>
  <commentList>
    <comment ref="L11" authorId="0">
      <text>
        <r>
          <rPr>
            <sz val="9"/>
            <color indexed="81"/>
            <rFont val="Arial"/>
            <family val="2"/>
          </rPr>
          <t>Information Value: &lt;0,1 lemah · 0,1-0,3 sedang · &gt;0,3 kuat.</t>
        </r>
      </text>
    </comment>
  </commentList>
</comments>
</file>

<file path=xl/comments2.xml><?xml version="1.0" encoding="utf-8"?>
<comments xmlns="http://schemas.openxmlformats.org/spreadsheetml/2006/main">
  <authors>
    <author/>
  </authors>
  <commentList>
    <comment ref="H1" authorId="0">
      <text>
        <r>
          <rPr>
            <sz val="8"/>
            <color indexed="81"/>
            <rFont val="Arial"/>
            <family val="2"/>
          </rPr>
          <t>Pemohon tanpa riwayat kolektibilitas 12 bulan diisi 1 (Lancar) agar filter pada tab 7 memperlakukan mereka sebagai tanpa catatan buruk, sama seperti perhitungan skenario di Python.</t>
        </r>
      </text>
    </comment>
    <comment ref="I1" authorId="0">
      <text>
        <r>
          <rPr>
            <sz val="8"/>
            <color indexed="81"/>
            <rFont val="Arial"/>
            <family val="2"/>
          </rPr>
          <t>Pemohon tanpa riwayat tunggakan 3 bulan diisi 0 hari, sama seperti perhitungan skenario di Python.</t>
        </r>
      </text>
    </comment>
    <comment ref="Q1" authorId="0">
      <text>
        <r>
          <rPr>
            <sz val="8"/>
            <color indexed="81"/>
            <rFont val="Arial"/>
            <family val="2"/>
          </rPr>
          <t>1 = punya fasilitas yang masih aktif dengan Kol 3-5 per November 2023. Inilah outcome independen yang dipakai menilai daya pisah metrik.</t>
        </r>
      </text>
    </comment>
  </commentList>
</comments>
</file>

<file path=xl/sharedStrings.xml><?xml version="1.0" encoding="utf-8"?>
<sst xmlns="http://schemas.openxmlformats.org/spreadsheetml/2006/main" count="9491" uniqueCount="1436">
  <si>
    <t>Kriteria whitelist masih meloloskan pemohon yang sudah macet</t>
  </si>
  <si>
    <t>587 pemohon KTA · posisi aplikasi November 2023 · sumber: SLIK/iDeb (587 baris x 25 kolom)</t>
  </si>
  <si>
    <t>RINGKASAN EKSEKUTIF  |  SLIK AGGREGATED TABLE</t>
  </si>
  <si>
    <t>Tambahkan syarat Kol maksimal 2 selama 12 bulan: NPL yang lolos turun dari 13 pemohon menjadi 0, basis pemohon hanya menyusut 3,4 poin persen</t>
  </si>
  <si>
    <t>Flag whitelist sudah memisahkan risiko dengan baik, tetapi 13 dari 510 pemohon ber-flag "3.Customer Others" tercatat Kol 3-5 di 6 bulan terakhir (8 masih aktif macet). Menambahkan syarat "Kol maksimal 2 selama 12 bulan" menutup celah itu sepenuhnya.</t>
  </si>
  <si>
    <t>PEMOHON DIANALISIS</t>
  </si>
  <si>
    <t>1 baris = 1 NIK · posisi November 2023</t>
  </si>
  <si>
    <t>LOLOS KRITERIA WHITELIST SEKARANG</t>
  </si>
  <si>
    <t>86,9% dari basis · hanya flag "3.Customer Others"</t>
  </si>
  <si>
    <t>SUDAH MACET TAPI TETAP LOLOS</t>
  </si>
  <si>
    <t>Kol 3-5 dalam 6 bulan terakhir · 8 masih macet aktif</t>
  </si>
  <si>
    <t>NPL YANG TERHAPUS OLEH KRITERIA USULAN</t>
  </si>
  <si>
    <t>Basis pemohon tetap 83,5% (490 dari 587)</t>
  </si>
  <si>
    <t>Simulasi kriteria whitelist: mana yang paling seimbang?</t>
  </si>
  <si>
    <t>Batang = % pemohon yang lolos (semakin tinggi semakin longgar) · garis = % NPL aktif yang masih lolos (semakin rendah semakin aman)</t>
  </si>
  <si>
    <t>Kualitas portofolio 24 bulan sebelum aplikasi</t>
  </si>
  <si>
    <t>% pemohon dengan Kol 3-5 pada bulan laporan SLIK · garis putus-putus = tren</t>
  </si>
  <si>
    <t>scen</t>
  </si>
  <si>
    <t>label</t>
  </si>
  <si>
    <t>lolos</t>
  </si>
  <si>
    <t>npl</t>
  </si>
  <si>
    <t>S0 Tanpa filter</t>
  </si>
  <si>
    <t>S1 Others (kini)</t>
  </si>
  <si>
    <t>S2 + Kol 12bln &lt;= 2</t>
  </si>
  <si>
    <t>S3 + DPD 3bln = 0</t>
  </si>
  <si>
    <t>S4 + Kol 12bln = 1</t>
  </si>
  <si>
    <t>trend_npl</t>
  </si>
  <si>
    <t>month_label</t>
  </si>
  <si>
    <t>customer_npl_pct</t>
  </si>
  <si>
    <t xml:space="preserve"> </t>
  </si>
  <si>
    <t>Jan-22</t>
  </si>
  <si>
    <t>Apr-22</t>
  </si>
  <si>
    <t>Jul-22</t>
  </si>
  <si>
    <t>Oct-22</t>
  </si>
  <si>
    <t>Jan-23</t>
  </si>
  <si>
    <t>Apr-23</t>
  </si>
  <si>
    <t>Jul-23</t>
  </si>
  <si>
    <t>Oct-23</t>
  </si>
  <si>
    <t>Tiga hal yang perlu diputuskan tim risk</t>
  </si>
  <si>
    <t>1  Tutup celah flag "Others"</t>
  </si>
  <si>
    <t>Flag Writeoff dan Restru sudah tajam: 60 dari 61 pemohon ber-flag Writeoff berada di Kol 5. Celahnya ada di flag "Others": 13 pemohon sudah Kol 3-5 dan 8 masih macet aktif. Flag saja tidak cukup — perlu syarat riwayat kolektibilitas.</t>
  </si>
  <si>
    <t>2  Eksposur dan angsuran bukan pemeringkat risiko</t>
  </si>
  <si>
    <t>Gini slik_exposure 0,40 tetapi arahnya terbalik: makin besar eksposur makin kecil NPL — efek pemohon tanpa jejak, bukan sebab-akibat. slik_installment hanya Gini 0,22. Dua metrik ini tepat sebagai ukuran kapasitas dan afordabilitas, bukan cut-off risiko. Yang memisahkan risiko adalah kualitas pembayaran dan jumlah fasilitas (Gini 0,28).</t>
  </si>
  <si>
    <t>3  Pemohon tanpa jejak pinjaman perlu jalur sendiri</t>
  </si>
  <si>
    <t>107 pemohon (18%) punya slik_exposure Rp 0 — tidak ada kartu kredit maupun KTA aktif. Tingkat pernah-bermasalah mereka 28,0% versus 14,0% rata-rata. Data SLIK tipis bukan berarti bersih; butuh verifikasi pendapatan atau limit awal yang lebih kecil.</t>
  </si>
  <si>
    <t>Definisi: "NPL aktif" = kolektibilitas 3-5 pada fasilitas yang masih berjalan per November 2023 (outcome independen). "Pernah bermasalah 12 bln" = Kol 3-5 pada riwayat 12 bulan sebelum aplikasi. Semua istilah dijelaskan di tab "Kamus Metrik"; keterbatasan data di tab "Catatan &amp; Asumsi".</t>
  </si>
  <si>
    <t>Flag whitelist bekerja, satu kantong risiko masih lolos</t>
  </si>
  <si>
    <t>Jumlah pemohon per kombinasi flag whitelist x kolektibilitas terburuk 6 bulan terakhir · total harus 587</t>
  </si>
  <si>
    <t>TOPIK 1  |  MATRIX REPORT</t>
  </si>
  <si>
    <t>60 dari 61 pemohon ber-flag hapus buku memang berada di Kol 5 — tetapi 13 pemohon "tanpa keduanya" juga sudah Kol 3-5</t>
  </si>
  <si>
    <t>Baca baris demi baris: konsentrasi risiko yang pekat (warna amber) idealnya hanya muncul di dua baris pertama. Kemunculannya di baris ketiga berarti kriteria whitelist saat ini belum melihat riwayat kolektibilitas.</t>
  </si>
  <si>
    <t>Sebaran 587 pemohon: flag whitelist x kolektibilitas terburuk 6 bulan terakhir</t>
  </si>
  <si>
    <t>Semakin pekat warna sel, semakin banyak pemohon di kombinasi tersebut · kolom kanan = porsi Kol 3-5 pada baris itu</t>
  </si>
  <si>
    <t>Flag whitelist  (kode sesuai spesifikasi)</t>
  </si>
  <si>
    <t>Kol 1
Lancar</t>
  </si>
  <si>
    <t>Kol 2
Perhatian khusus</t>
  </si>
  <si>
    <t>Kol 3
Kurang lancar</t>
  </si>
  <si>
    <t>Kol 4
Diragukan</t>
  </si>
  <si>
    <t>Kol 5
Macet</t>
  </si>
  <si>
    <t>Tanpa riwayat
6 bulan</t>
  </si>
  <si>
    <t>Total
pemohon</t>
  </si>
  <si>
    <t>Porsi Kol 3-5
(kualitas baris)</t>
  </si>
  <si>
    <t>1. Pernah hapus buku  ("Writeoff")</t>
  </si>
  <si>
    <t>2. Pernah restrukturisasi  ("Restru")</t>
  </si>
  <si>
    <t>3. Tanpa keduanya  ("Others")</t>
  </si>
  <si>
    <t>Total</t>
  </si>
  <si>
    <t>"Tanpa riwayat 6 bulan" = pemohon terdaftar di SLIK tetapi tidak ada satu pun bulan laporan pada Mei-Oktober 2023 (10 pemohon). Kolom ini sengaja ditampilkan, bukan dibuang, agar total tetap 587.</t>
  </si>
  <si>
    <t>Komposisi risiko tiap flag (dinormalkan 100%)</t>
  </si>
  <si>
    <t>Membandingkan bentuk risiko tanpa terganggu perbedaan ukuran kelompok</t>
  </si>
  <si>
    <t>Rincian celah: pemohon "tanpa keduanya" yang sudah Kol 3-5</t>
  </si>
  <si>
    <t>Kelompok inilah yang lolos kriteria whitelist saat ini</t>
  </si>
  <si>
    <t>share_band</t>
  </si>
  <si>
    <t>flag</t>
  </si>
  <si>
    <t>0. Lancar</t>
  </si>
  <si>
    <t>1. Perhatian Khusus</t>
  </si>
  <si>
    <t>2. NPL (Kol 3-5)</t>
  </si>
  <si>
    <t>3. Tanpa Riwayat</t>
  </si>
  <si>
    <t>1. Hapus buku</t>
  </si>
  <si>
    <t>2. Restrukturisasi</t>
  </si>
  <si>
    <t>3. Tanpa keduanya</t>
  </si>
  <si>
    <t>13 pemohon di baris ke-3 sudah tercatat Kol 3-5 dalam 6 bulan terakhir, 8 di antaranya masih macet pada fasilitas aktif per November 2023. Semua lolos kriteria whitelist yang berlaku sekarang.</t>
  </si>
  <si>
    <t>Kolektibilitas terburuk
6 bulan terakhir</t>
  </si>
  <si>
    <t>Pemohon</t>
  </si>
  <si>
    <t>Masih macet
aktif</t>
  </si>
  <si>
    <t>Rata-rata eksposur
SLIK</t>
  </si>
  <si>
    <t>Kol 3 - Kurang Lancar</t>
  </si>
  <si>
    <t>Kol 4 - Diragukan</t>
  </si>
  <si>
    <t>Kol 5 - Macet</t>
  </si>
  <si>
    <t>Total celah</t>
  </si>
  <si>
    <t>Cara menutupnya: syaratkan kolektibilitas maksimal 2 sepanjang 12 bulan terakhir (kolom collection_status_allcondition_last_12months_max). Simulasi di tab "7. Simulasi Kebijakan" menunjukkan seluruh NPL hilang dan basis pemohon tetap 83,5% (490 pemohon). Sebagai perbandingan, menambahkan syarat DPD 3 bulan = 0 tidak lagi menurunkan NPL tetapi memotong basis ke 78,2%.</t>
  </si>
  <si>
    <t>Sumber: view BigQuery vw_matrix_whitelist_x_kol6m, diekspor ke output/matrix_whitelist_x_kol6m.csv. Kolektibilitas mengikuti KODE REFERENSI OJK REF#21.</t>
  </si>
  <si>
    <t>Jumlah fasilitas kredit membedakan segmen paling tegas</t>
  </si>
  <si>
    <t>Lima segmen dibentuk berjenjang dari kondisi fasilitas dan riwayat kolektibilitas 12 bulan · setiap pemohon masuk tepat satu segmen</t>
  </si>
  <si>
    <t>TOPIK 2  |  SEGMENTASI PERILAKU PEMOHON</t>
  </si>
  <si>
    <t>Segmen "Macet / NPL" memegang rata-rata 64 fasilitas kredit — 3,6 kali segmen bersih (18 fasilitas)</t>
  </si>
  <si>
    <t>72,6% pemohon berada di segmen bersih dan lancar, sementara 14,1% sudah macet atau dihapusbukukan. Pola "credit shopping" (banyak fasilitas di banyak lembaga) adalah pembeda paling kuat dan bisa dipakai langsung sebagai aturan penyaring.</t>
  </si>
  <si>
    <t>Profil lima segmen perilaku SLIK</t>
  </si>
  <si>
    <t>Kolom "NPL aktif" memakai outcome independen (kolektibilitas fasilitas aktif per November 2023), bukan variabel yang membentuk segmen</t>
  </si>
  <si>
    <t>Segmen perilaku  (kode sesuai kolom slik_behavior_segment)</t>
  </si>
  <si>
    <t>% basis</t>
  </si>
  <si>
    <t>Rata-rata
fasilitas</t>
  </si>
  <si>
    <t>Rata-rata angsuran
SLIK / bulan</t>
  </si>
  <si>
    <t>NPL aktif</t>
  </si>
  <si>
    <t>Pernah telat
3 bulan</t>
  </si>
  <si>
    <t>A. Bersih &amp; lancar  (A. Clean &amp; Current)</t>
  </si>
  <si>
    <t>B. Pernah telat ringan  (B. Past Due Ringan)</t>
  </si>
  <si>
    <t>C. Pernah restrukturisasi  (C. Restructured)</t>
  </si>
  <si>
    <t>D. Macet / NPL  (D. NPL / Delinquent)</t>
  </si>
  <si>
    <t>E. Sudah hapus buku  (E. Writeoff)</t>
  </si>
  <si>
    <t>Urutan pembentukan segmen: E jika ada fasilitas hapus buku -&gt; D jika Kol 3-5 dalam 12 bulan -&gt; C jika ada restrukturisasi -&gt; B jika pernah telat pada 3 bulan terakhir -&gt; sisanya A. Karena berjenjang, satu pemohon tidak bisa terhitung dua kali.</t>
  </si>
  <si>
    <t>Rata-rata jumlah fasilitas kredit vs NPL aktif per segmen</t>
  </si>
  <si>
    <t>Batang = rata-rata jumlah fasilitas (semua kondisi) · garis = % pemohon dengan NPL aktif</t>
  </si>
  <si>
    <t>Ukuran tiap segmen</t>
  </si>
  <si>
    <t>Jumlah pemohon · segmen bermasalah disorot</t>
  </si>
  <si>
    <t>segmen</t>
  </si>
  <si>
    <t>fac</t>
  </si>
  <si>
    <t>n</t>
  </si>
  <si>
    <t>A. Bersih &amp; lancar</t>
  </si>
  <si>
    <t>B. Pernah telat ringan</t>
  </si>
  <si>
    <t>C. Pernah restrukturisasi</t>
  </si>
  <si>
    <t>D. Macet / NPL</t>
  </si>
  <si>
    <t>E. Sudah hapus buku</t>
  </si>
  <si>
    <t>Catatan kejujuran analisis: segmen D dan E sebagian dibentuk dari riwayat kolektibilitas, sehingga tingkat NPL-nya tidak sepenuhnya independen. Yang independen dari definisi segmen adalah rata-rata jumlah fasilitas dan nilai eksposur — itulah sebabnya dua kolom tersebut yang dipakai sebagai temuan. Sumber: segment_summary.csv · view BigQuery: vw_segment_summary.</t>
  </si>
  <si>
    <t>Eksposur dan angsuran SLIK bukan pemeringkat risiko</t>
  </si>
  <si>
    <t>Gini = kemampuan memisahkan pemohon baik dan buruk (0 = tidak bisa memisahkan, 1 = sempurna) · target: NPL aktif per November 2023</t>
  </si>
  <si>
    <t>TOPIK 3  |  UJI KELAYAKAN VARIABEL SCORECARD</t>
  </si>
  <si>
    <t>Desil eksposur terkecil punya tingkat pernah-bermasalah 27,1% dan desil terbesar 3,4% — arahnya terbalik, tetapi tangganya tidak rapi</t>
  </si>
  <si>
    <t>Pola ini konsisten dengan praktik pasar: pemohon dengan eksposur besar adalah mereka yang sudah lolos seleksi lembaga lain, sedangkan eksposur nol berarti belum ada jejak. Penurunannya tidak monoton dan pada target NPL aktif nyaris hilang, jadi kedua metrik SLIK sebaiknya dipakai untuk menghitung kapasitas dan afordabilitas, sementara pemeringkatan risiko diserahkan pada variabel perilaku.</t>
  </si>
  <si>
    <t>Rank ordering: tingkat bermasalah per desil eksposur</t>
  </si>
  <si>
    <t>Idealnya garis turun rapi dari kiri ke kanan (atau naik) — di sini justru mendatar/terbalik</t>
  </si>
  <si>
    <t>Daya pisah tiap kandidat variabel</t>
  </si>
  <si>
    <t>Diurutkan dari Gini tertinggi · arah menunjukkan tanda hubungan</t>
  </si>
  <si>
    <t>desil</t>
  </si>
  <si>
    <t>ever</t>
  </si>
  <si>
    <t>now</t>
  </si>
  <si>
    <t>D1</t>
  </si>
  <si>
    <t>D2</t>
  </si>
  <si>
    <t>D3</t>
  </si>
  <si>
    <t>D4</t>
  </si>
  <si>
    <t>D5</t>
  </si>
  <si>
    <t>D6</t>
  </si>
  <si>
    <t>D7</t>
  </si>
  <si>
    <t>D8</t>
  </si>
  <si>
    <t>D9</t>
  </si>
  <si>
    <t>D10</t>
  </si>
  <si>
    <t>Kandidat variabel</t>
  </si>
  <si>
    <t>Gini</t>
  </si>
  <si>
    <t>IV</t>
  </si>
  <si>
    <t>Arah</t>
  </si>
  <si>
    <t>Fasilitas aktif pernah telat &gt;10 hr</t>
  </si>
  <si>
    <t>Searah</t>
  </si>
  <si>
    <t>Eksposur SLIK</t>
  </si>
  <si>
    <t>Terbalik</t>
  </si>
  <si>
    <t>Jumlah fasilitas kredit</t>
  </si>
  <si>
    <t>Angsuran SLIK per bulan</t>
  </si>
  <si>
    <t>Restrukturisasi tanpa agunan</t>
  </si>
  <si>
    <t>Outstanding tanpa agunan</t>
  </si>
  <si>
    <t>Umur kredit terlama (bulan)</t>
  </si>
  <si>
    <t>Variabel teratas (fasilitas aktif yang pernah telat &gt;10 hari) memang punya Gini 0,91, tetapi hampir satu definisi dengan target sehingga tidak layak dipakai sebagai prediktor. Kandidat yang benar-benar berguna dan tersedia saat aplikasi adalah jumlah fasilitas kredit (Gini 0,28 · IV 0,73). Arah "terbalik" berarti nilai makin besar justru makin sedikit NPL — tanda variabel kapasitas, bukan variabel risiko.</t>
  </si>
  <si>
    <t>Sebaran eksposur SLIK antar pemohon</t>
  </si>
  <si>
    <t>Batang amber = pemohon tanpa eksposur sama sekali (107 pemohon, 18% basis)</t>
  </si>
  <si>
    <t>Sebaran angsuran SLIK per bulan</t>
  </si>
  <si>
    <t>Batang amber = pemohon tanpa angsuran berjalan (60 pemohon)</t>
  </si>
  <si>
    <t>hist</t>
  </si>
  <si>
    <t>band</t>
  </si>
  <si>
    <t>exposure</t>
  </si>
  <si>
    <t>installment</t>
  </si>
  <si>
    <t>Rp 0</t>
  </si>
  <si>
    <t>&lt; Rp 1 jt</t>
  </si>
  <si>
    <t>Rp 1-5 jt</t>
  </si>
  <si>
    <t>Rp 5-25 jt</t>
  </si>
  <si>
    <t>Rp 25-100 jt</t>
  </si>
  <si>
    <t>&gt; Rp 100 jt</t>
  </si>
  <si>
    <t>Penyebab utama nilai Rp 0: 107 pemohon (18% basis) tidak punya kartu kredit maupun KTA berstatus aktif, sehingga kedua komponen slik_exposure nol sekaligus. Kelompok inilah yang menempati desil terbawah dan membuat arah hubungan eksposur-NPL terlihat terbalik. Sumber: scorecard_deciles.csv, scorecard_power.csv.</t>
  </si>
  <si>
    <t>Kualitas kredit memburuk selama 24 bulan sebelum aplikasi</t>
  </si>
  <si>
    <t>Agregasi bulanan riwayat SLIK Nov-21 - Oct-23 · bulan aplikasi (November 2023) sengaja tidak diikutkan agar tidak bocor ke masa depan</t>
  </si>
  <si>
    <t>TOPIK 4  |  TREN KUALITAS PORTOFOLIO SLIK</t>
  </si>
  <si>
    <t>Rata-rata hari keterlambatan naik dari 27 hari menjadi 52 hari, dan porsi pemohon Kol 3-5 naik 1,9 poin persen</t>
  </si>
  <si>
    <t>Artinya keputusan kredit tidak bisa hanya melihat posisi terakhir: tren 24 bulan menunjukkan tekanan yang menumpuk. Gunakan kontrol rentang bulan di bawah untuk memeriksa periode tertentu.</t>
  </si>
  <si>
    <t>Dari bulan</t>
  </si>
  <si>
    <t>Nov-21</t>
  </si>
  <si>
    <t>sampai</t>
  </si>
  <si>
    <t>Klik sel amber untuk memilih rentang — grafik dan ringkasan ikut menyesuaikan (tetap berfungsi di Google Sheets).</t>
  </si>
  <si>
    <t>trend_full</t>
  </si>
  <si>
    <t>idx</t>
  </si>
  <si>
    <t>npl_pct</t>
  </si>
  <si>
    <t>dpd_days</t>
  </si>
  <si>
    <t>npl_view</t>
  </si>
  <si>
    <t>dpd_view</t>
  </si>
  <si>
    <t>cat_label</t>
  </si>
  <si>
    <t>Dec-21</t>
  </si>
  <si>
    <t>Feb-22</t>
  </si>
  <si>
    <t>Mar-22</t>
  </si>
  <si>
    <t>May-22</t>
  </si>
  <si>
    <t>Jun-22</t>
  </si>
  <si>
    <t>Aug-22</t>
  </si>
  <si>
    <t>Sep-22</t>
  </si>
  <si>
    <t>Nov-22</t>
  </si>
  <si>
    <t>Dec-22</t>
  </si>
  <si>
    <t>Feb-23</t>
  </si>
  <si>
    <t>Mar-23</t>
  </si>
  <si>
    <t>May-23</t>
  </si>
  <si>
    <t>Jun-23</t>
  </si>
  <si>
    <t>Aug-23</t>
  </si>
  <si>
    <t>Sep-23</t>
  </si>
  <si>
    <t>Rata-rata hari telat dan porsi pemohon Kol 3-5 per bulan laporan</t>
  </si>
  <si>
    <t>Batang = rata-rata hari keterlambatan (skala kiri) · garis = % pemohon Kol 3-5 (skala kanan)</t>
  </si>
  <si>
    <t>Ringkasan rentang yang dipilih</t>
  </si>
  <si>
    <t>Semua angka dihitung ulang otomatis mengikuti kontrol di atas</t>
  </si>
  <si>
    <t>Indikator</t>
  </si>
  <si>
    <t>Nilai</t>
  </si>
  <si>
    <t>Bulan ditampilkan</t>
  </si>
  <si>
    <t>% pemohon Kol 3-5 di bulan awal</t>
  </si>
  <si>
    <t>% pemohon Kol 3-5 di bulan akhir</t>
  </si>
  <si>
    <t>Perubahan (poin persen)</t>
  </si>
  <si>
    <t>Rata-rata hari telat pada rentang</t>
  </si>
  <si>
    <t>Bulan terburuk pada rentang</t>
  </si>
  <si>
    <t>Mengapa tren ini penting untuk keputusan hari ini: pemohon yang hari ini berstatus Kol 1 bisa saja baru pulih dari keterlambatan beberapa bulan lalu. Kolom collection_status_allcondition_last_12months_max menangkap hal itu, dan itulah variabel yang dipakai pada kriteria whitelist usulan.</t>
  </si>
  <si>
    <t>Cakupan data: setiap bulan hanya memuat pemohon yang benar-benar dilaporkan lembaga keuangan pada bulan tersebut (rata-rata 515 dari 587 pemohon), sehingga angka persentase sudah dinormalkan terhadap jumlah pelapor bulan itu — bukan terhadap 587.</t>
  </si>
  <si>
    <t>Sumber: slik_monthly_trend.csv (tab data_tren) · dibentuk dari 24 pasang kolom riwayat tahunBulanXX / kolektibilitasXX / hariTelatXX pada tabel SLIK mentah.</t>
  </si>
  <si>
    <t>Demografi memberi sinyal lemah, kecuali kelompok usia 50-54</t>
  </si>
  <si>
    <t>Tingkat "pernah bermasalah 12 bulan" per kelompok demografi, disertai jumlah sampel dan selang kepercayaan 95% agar kelompok kecil tidak dibaca berlebihan</t>
  </si>
  <si>
    <t>TOPIK 5  |  PROFIL DEMOGRAFI VS RISIKO</t>
  </si>
  <si>
    <t>Usia 50-54 mencatat 30,8% pernah bermasalah versus 10,3% pada usia 25-29 — satu-satunya selisih yang tidak beririsan dengan selang kepercayaan kelompok lain</t>
  </si>
  <si>
    <t>Perbedaan gender dan status pernikahan masih di dalam rentang ketidakpastian pada ukuran sampel 587; pada pendidikan hanya "Tanpa Gelar" yang selangnya seluruhnya di atas rata-rata basis, dan batas bawahnya pun hanya menyerempet. Demografi karena itu dipakai untuk memantau komposisi, bukan menolak.</t>
  </si>
  <si>
    <t>Tingkat pernah bermasalah per kelompok usia</t>
  </si>
  <si>
    <t>Jumlah sampel ditulis di label agar kelompok kecil terlihat jelas</t>
  </si>
  <si>
    <t>Per tingkat pendidikan (hanya kelompok dengan sampel &gt;= 15)</t>
  </si>
  <si>
    <t>Diploma 1 (n=5) dan Diploma 2 (n=1) dikeluarkan karena terlalu kecil untuk disimpulkan</t>
  </si>
  <si>
    <t>usia</t>
  </si>
  <si>
    <t>rate</t>
  </si>
  <si>
    <t>20-24
(n=47)</t>
  </si>
  <si>
    <t>25-29
(n=184)</t>
  </si>
  <si>
    <t>30-34
(n=123)</t>
  </si>
  <si>
    <t>35-39
(n=81)</t>
  </si>
  <si>
    <t>40-44
(n=75)</t>
  </si>
  <si>
    <t>45-49
(n=36)</t>
  </si>
  <si>
    <t>50-54
(n=26)</t>
  </si>
  <si>
    <t>55-59
(n=13)</t>
  </si>
  <si>
    <t>60-64
(n=2)</t>
  </si>
  <si>
    <t>pendidikan</t>
  </si>
  <si>
    <t>Diploma 3 (n=34)</t>
  </si>
  <si>
    <t>S-1 (n=256)</t>
  </si>
  <si>
    <t>S-2 (n=23)</t>
  </si>
  <si>
    <t>Lainnya (n=95)</t>
  </si>
  <si>
    <t>Tanpa Gelar (n=159)</t>
  </si>
  <si>
    <t>Gender dan status pernikahan: apakah selisihnya nyata?</t>
  </si>
  <si>
    <t>Selang kepercayaan 95% (metode Wilson) · jika dua selang saling beririsan, selisihnya belum dapat disimpulkan pada ukuran sampel ini</t>
  </si>
  <si>
    <t>Kelompok</t>
  </si>
  <si>
    <t>Jumlah
pemohon</t>
  </si>
  <si>
    <t>Pernah
bermasalah</t>
  </si>
  <si>
    <t>Tingkat</t>
  </si>
  <si>
    <t>Batas
bawah 95%</t>
  </si>
  <si>
    <t>Batas
atas 95%</t>
  </si>
  <si>
    <t>Cara membacanya</t>
  </si>
  <si>
    <t>Gender: perempuan</t>
  </si>
  <si>
    <t>Beririsan lebar dengan laki-laki: selisih 2,0 poin persen belum dapat disimpulkan.</t>
  </si>
  <si>
    <t>Gender: laki-laki</t>
  </si>
  <si>
    <t>Kelompok mayoritas (67% basis) — menjadi acuan pembanding.</t>
  </si>
  <si>
    <t>Status: menikah</t>
  </si>
  <si>
    <t>Selisih 5,3 poin di atas "belum menikah", tetapi selang masih beririsan tipis: arah konsisten, belum konklusif.</t>
  </si>
  <si>
    <t>Status: belum menikah</t>
  </si>
  <si>
    <t>Kelompok terbesar dan paling rendah risikonya di antara status pernikahan.</t>
  </si>
  <si>
    <t>Status: lainnya (cerai/janda/lain)</t>
  </si>
  <si>
    <t>Hanya 11 pemohon — selang sangat lebar, tidak layak dipakai untuk keputusan.</t>
  </si>
  <si>
    <t>Keterbatasan: dataset demografi tidak memuat penghasilan, sehingga Debt Burden Ratio (angsuran SLIK / penghasilan) tidak dapat dihitung. Selain itu 14 dari 587 pemohon tidak punya baris di tabel demografi kedua, sehingga kolom pendidikan/pekerjaan untuk mereka kosong dan tidak ikut dihitung.</t>
  </si>
  <si>
    <t>Atur kriteria dan lihat dampaknya ke basis pemohon dan NPL</t>
  </si>
  <si>
    <t>Empat kontrol di bawah menghitung ulang seluruh KPI dan grafik dari 587 baris data pemohon · nilai awal = kriteria yang direkomendasikan</t>
  </si>
  <si>
    <t>REKOMENDASI  |  SIMULASI KRITERIA WHITELIST</t>
  </si>
  <si>
    <t>Kriteria usulan: flag "3.Customer Others" DAN kolektibilitas maksimal 2 sepanjang 12 bulan terakhir — 490 pemohon lolos (83,5% basis) dengan nol NPL aktif</t>
  </si>
  <si>
    <t>Menambahkan syarat DPD 3 bulan = 0 tidak lagi menurunkan NPL tetapi memotong basis pemohon 5,3 poin persen — jadi syarat itu tidak perlu. Ubah kontrol di bawah untuk menguji kombinasi lain.</t>
  </si>
  <si>
    <t>FLAG WHITELIST</t>
  </si>
  <si>
    <t>3.Customer Others</t>
  </si>
  <si>
    <t>MAKS. KOLEKTIBILITAS 12 BULAN</t>
  </si>
  <si>
    <t>MAKS. HARI TELAT 3 BULAN</t>
  </si>
  <si>
    <t>SEGMEN PERILAKU</t>
  </si>
  <si>
    <t>Semua</t>
  </si>
  <si>
    <t>Hasil simulasi untuk kriteria yang dipilih</t>
  </si>
  <si>
    <t>Dihitung dengan SUMPRODUCT langsung dari tab data_customer — tetap hidup setelah diimpor ke Google Sheets</t>
  </si>
  <si>
    <t>PEMOHON LOLOS</t>
  </si>
  <si>
    <t>dari 587 pemohon dalam basis</t>
  </si>
  <si>
    <t>% BASIS PEMOHON YANG DIPERTAHANKAN</t>
  </si>
  <si>
    <t>semakin tinggi semakin longgar kriteria</t>
  </si>
  <si>
    <t>NPL AKTIF YANG MASIH LOLOS</t>
  </si>
  <si>
    <t>target: 0 pemohon</t>
  </si>
  <si>
    <t>PERNAH BERMASALAH 12 BULAN YANG LOLOS</t>
  </si>
  <si>
    <t>kontrol historis, bukan target utama</t>
  </si>
  <si>
    <t>Lima skenario baku sebagai pembanding</t>
  </si>
  <si>
    <t>Baris amber = kriteria yang direkomendasikan (titik henti terbaik)</t>
  </si>
  <si>
    <t>Sebaran segmen pemohon yang lolos kriteria terpilih</t>
  </si>
  <si>
    <t>Ikut berubah saat kontrol di atas diubah</t>
  </si>
  <si>
    <t>Skenario kriteria</t>
  </si>
  <si>
    <t>Pemohon
lolos</t>
  </si>
  <si>
    <t>NPL aktif
yang lolos</t>
  </si>
  <si>
    <t>S0  Tanpa filter apa pun</t>
  </si>
  <si>
    <t>S1  Flag Others saja (berlaku kini)</t>
  </si>
  <si>
    <t>S2  Others + Kol 12 bln &lt;= 2</t>
  </si>
  <si>
    <t>S3  S2 + DPD 3 bln = 0</t>
  </si>
  <si>
    <t>S4  Others + Kol 12 bln = 1 + DPD 0</t>
  </si>
  <si>
    <t>Cara membaca: dari S1 ke S2, NPL aktif yang lolos turun dari 1,57% menjadi 0% dengan biaya 3,4 poin persen basis pemohon. Dari S2 ke S3 dan S4, NPL sudah nol sehingga tambahan syarat hanya memotong basis (masing-masing -5,3 dan -10,6 poin) tanpa manfaat risiko. Karena itu S2 adalah titik henti yang paling efisien.</t>
  </si>
  <si>
    <t>sim_segmen</t>
  </si>
  <si>
    <t>Rekomendasi akhir: pertahankan flag whitelist yang ada, tambahkan satu syarat "collection_status_allcondition_last_12months_max &lt;= 2". Dampaknya: basis pemohon 86,9% menjadi 83,5%, NPL aktif yang lolos 1,57% menjadi 0%. Untuk 107 pemohon tanpa jejak SLIK, terapkan jalur verifikasi terpisah karena tingkat bermasalah mereka 28,0% di atas rata-rata basis 14,0%.</t>
  </si>
  <si>
    <t>Sumber: whitelist_scenarios.csv untuk lima skenario baku · KPI dan grafik kanan dihitung langsung dari tab data_customer dengan SUMPRODUCT.</t>
  </si>
  <si>
    <t>Kamus metrik: dari nama kolom teknis ke bahasa sehari-hari</t>
  </si>
  <si>
    <t>25 kolom wajib sesuai spesifikasi (nomor 1-25) ditambah kolom turunan yang dipakai untuk analisis · semua definisi mengikuti KODE REFERENSI OJK</t>
  </si>
  <si>
    <t>REFERENSI</t>
  </si>
  <si>
    <t>Nama kolom (teknis)</t>
  </si>
  <si>
    <t>Sebutan untuk orang awam</t>
  </si>
  <si>
    <t>Definisi dan cara hitung</t>
  </si>
  <si>
    <t>Dipakai di tab</t>
  </si>
  <si>
    <t xml:space="preserve">  25 KOLOM WAJIB SESUAI SPESIFIKASI</t>
  </si>
  <si>
    <t>1. NIK</t>
  </si>
  <si>
    <t>Nomor identitas pemohon</t>
  </si>
  <si>
    <t>Kolom ktp pada tabel SLIK. Menjadi kunci utama tabel: satu baris = satu pemohon.</t>
  </si>
  <si>
    <t>2. flags_allcondition_count</t>
  </si>
  <si>
    <t>Banyaknya fasilitas kredit pemohon di seluruh lembaga keuangan, tanpa memandang status aktif, lunas, atau hapus buku.</t>
  </si>
  <si>
    <t>3, 4</t>
  </si>
  <si>
    <t>3. flags_restructured_active_count</t>
  </si>
  <si>
    <t>Fasilitas aktif yang direstrukturisasi</t>
  </si>
  <si>
    <t>Fasilitas berstatus aktif (kondisi 0) yang pernah direstrukturisasi: sifatKredit = 1, atau frekuensiRestrukturisasi &gt; 0, atau ada tanggal restrukturisasi terakhir.</t>
  </si>
  <si>
    <t>3</t>
  </si>
  <si>
    <t>4. flags_chargewriteoff_count</t>
  </si>
  <si>
    <t>Fasilitas yang dihapusbukukan</t>
  </si>
  <si>
    <t>Fasilitas dengan kondisi 3 (dihapusbukukan) atau 4 (hapus tagih). Menjadi dasar flag whitelist prioritas pertama.</t>
  </si>
  <si>
    <t>1, 2</t>
  </si>
  <si>
    <t>5. plafond_credit_card_active_max</t>
  </si>
  <si>
    <t>Limit kartu kredit aktif tertinggi</t>
  </si>
  <si>
    <t>Plafon terbesar di antara kartu kredit aktif. REF#15 memakai dua skema sandi sekaligus: sandi lama 30 (tersimpan sebagai X-30) dan Sandi Referensi P05. Seluruh kartu kredit aktif di dataset ini memakai P05, sehingga keduanya harus dibaca bersama.</t>
  </si>
  <si>
    <t>4, Catatan</t>
  </si>
  <si>
    <t>6. installment_active_max</t>
  </si>
  <si>
    <t>Angsuran bulanan terbesar</t>
  </si>
  <si>
    <t>Nilai angsuran terbesar di antara seluruh fasilitas aktif pemohon.</t>
  </si>
  <si>
    <t>data</t>
  </si>
  <si>
    <t>7. balance_personal_loan_active_sum</t>
  </si>
  <si>
    <t>Total outstanding KTA aktif</t>
  </si>
  <si>
    <t>Jumlah baki debet fasilitas KTA aktif, yaitu penggunaan konsumsi, tanpa agunan, dan bukan kartu kredit.</t>
  </si>
  <si>
    <t>4</t>
  </si>
  <si>
    <t>8. plafond_credit_card_active_sum</t>
  </si>
  <si>
    <t>Total limit kartu kredit aktif</t>
  </si>
  <si>
    <t>Jumlah plafon seluruh kartu kredit aktif. Komponen pertama slik_exposure.</t>
  </si>
  <si>
    <t>9. installment_personal_loan_active_sum</t>
  </si>
  <si>
    <t>Total angsuran pinjaman aktif</t>
  </si>
  <si>
    <t>Jumlah angsuran bulanan fasilitas pinjaman aktif non-kartu-kredit. Komponen kedua slik_installment.</t>
  </si>
  <si>
    <t>10. balance_credit_card_active_sum</t>
  </si>
  <si>
    <t>Total outstanding kartu kredit aktif</t>
  </si>
  <si>
    <t>Jumlah baki debet kartu kredit aktif. Menjadi dasar perhitungan 5% pada slik_installment.</t>
  </si>
  <si>
    <t>11. mob_active_avg</t>
  </si>
  <si>
    <t>Rata-rata umur fasilitas aktif (bulan)</t>
  </si>
  <si>
    <t>Rata-rata selisih bulan antara tanggal awal kredit dan bulan aplikasi (November 2023) untuk fasilitas aktif.</t>
  </si>
  <si>
    <t>12. dpd_nonbank_allcondition_last_12months_max</t>
  </si>
  <si>
    <t>Telat terlama di lembaga non-bank (12 bln)</t>
  </si>
  <si>
    <t>Hari keterlambatan tertinggi pada fasilitas dari perusahaan pembiayaan atau lembaga non-bank lain selama 12 bulan sebelum aplikasi.</t>
  </si>
  <si>
    <t>13. collection_status_closed_unsecured_last_24months_max</t>
  </si>
  <si>
    <t>Kolektibilitas terburuk pinjaman tanpa agunan yang sudah ditutup (24 bln)</t>
  </si>
  <si>
    <t>Nilai Kol tertinggi pada fasilitas tanpa agunan yang sudah lunas atau ditutup, dilihat dari riwayat 24 bulan.</t>
  </si>
  <si>
    <t>14. dpd_allcondition_last_3months_max</t>
  </si>
  <si>
    <t>Telat terlama 3 bulan terakhir (hari)</t>
  </si>
  <si>
    <t>Hari keterlambatan tertinggi pada 3 bulan sebelum aplikasi (Agustus-Oktober 2023).</t>
  </si>
  <si>
    <t>2, 7</t>
  </si>
  <si>
    <t>15. collection_status_allcondition_last_6months_max</t>
  </si>
  <si>
    <t>Kolektibilitas terburuk 6 bulan terakhir</t>
  </si>
  <si>
    <t>Nilai Kol tertinggi (1 Lancar sampai 5 Macet) pada Mei-Oktober 2023. Menjadi sumbu matrix report.</t>
  </si>
  <si>
    <t>2</t>
  </si>
  <si>
    <t>16. collection_status_allcondition_last_12months_max</t>
  </si>
  <si>
    <t>Kolektibilitas terburuk 12 bulan terakhir</t>
  </si>
  <si>
    <t>Nilai Kol tertinggi pada November 2022-Oktober 2023. Inilah kolom yang diusulkan menjadi syarat tambahan kriteria whitelist.</t>
  </si>
  <si>
    <t>3, 7</t>
  </si>
  <si>
    <t>17. balance_unsecured_sum</t>
  </si>
  <si>
    <t>Total outstanding tanpa agunan</t>
  </si>
  <si>
    <t>Jumlah baki debet seluruh fasilitas yang tidak memiliki agunan.</t>
  </si>
  <si>
    <t>18. plafon_sum</t>
  </si>
  <si>
    <t>Total plafon seluruh fasilitas</t>
  </si>
  <si>
    <t>Jumlah plafon semua fasilitas tanpa memandang kondisi. Menggambarkan total limit yang pernah diberikan lembaga lain.</t>
  </si>
  <si>
    <t>19. mob_allcondition_max</t>
  </si>
  <si>
    <t>Selisih bulan terbesar antara tanggal awal kredit dan bulan aplikasi. Menunjukkan sudah berapa lama pemohon mengenal kredit formal.</t>
  </si>
  <si>
    <t>20. balance_sum</t>
  </si>
  <si>
    <t>Total outstanding seluruh fasilitas</t>
  </si>
  <si>
    <t>Jumlah baki debet semua fasilitas tanpa memandang kondisi, termasuk yang sudah dihapusbukukan sehingga nilainya bisa jauh lebih besar dari eksposur aktif.</t>
  </si>
  <si>
    <t>21. flags_active_dpd10plus_count</t>
  </si>
  <si>
    <t>Fasilitas aktif yang pernah telat di atas 10 hari</t>
  </si>
  <si>
    <t>Banyaknya fasilitas aktif dengan hari keterlambatan lebih dari 10 pada riwayat yang tersedia. Perhatian: kolom ini nyaris sama dengan definisi gagal bayar sehingga daya pisahnya semu (lihat tab 4).</t>
  </si>
  <si>
    <t>22. flags_restructured_allcondition_unsecured_count</t>
  </si>
  <si>
    <t>Fasilitas tanpa agunan yang direstrukturisasi</t>
  </si>
  <si>
    <t>Banyaknya fasilitas tanpa agunan yang pernah direstrukturisasi, semua kondisi.</t>
  </si>
  <si>
    <t>23. slik_installment</t>
  </si>
  <si>
    <t>Total angsuran SLIK per bulan</t>
  </si>
  <si>
    <t>5% x outstanding kartu kredit aktif + total angsuran pinjaman aktif non-kartu-kredit. Ukuran beban cicilan bulanan pemohon di lembaga lain.</t>
  </si>
  <si>
    <t>1, 3, 4</t>
  </si>
  <si>
    <t>24. slik_exposure</t>
  </si>
  <si>
    <t>Total eksposur SLIK</t>
  </si>
  <si>
    <t>Total limit kartu kredit aktif + total outstanding KTA aktif. Ukuran seberapa besar kepercayaan yang sudah diberikan lembaga lain.</t>
  </si>
  <si>
    <t>25. whitelist_flag</t>
  </si>
  <si>
    <t>Kelompok whitelist</t>
  </si>
  <si>
    <t>Berurutan: "1.Customer has Writeoff" bila ada fasilitas hapus buku; bila tidak, "2.Customer has Restru" bila ada restrukturisasi; sisanya "3.Customer Others".</t>
  </si>
  <si>
    <t>1, 2, 7</t>
  </si>
  <si>
    <t xml:space="preserve">  KOLOM &amp; ISTILAH TURUNAN (dibuat untuk keperluan analisis, di luar 25 kolom wajib)</t>
  </si>
  <si>
    <t>npl_now_active</t>
  </si>
  <si>
    <t>Gagal bayar aktif per Nov-2023</t>
  </si>
  <si>
    <t>1 bila pemohon punya minimal satu fasilitas yang masih aktif dengan Kol 3-5 pada bulan aplikasi. Inilah outcome yang dipakai menilai daya pisah metrik karena tidak dipakai membentuk segmen (independen).</t>
  </si>
  <si>
    <t>1, 3, 4, 7</t>
  </si>
  <si>
    <t>ever_npl_12m</t>
  </si>
  <si>
    <t>Pernah gagal bayar dalam 12 bulan</t>
  </si>
  <si>
    <t>1 bila Kol terburuk 12 bulan &gt;= 3. Dipakai sebagai pembanding historis saja: kolom ini ikut membentuk segmen sehingga tidak layak menjadi target penilaian.</t>
  </si>
  <si>
    <t>3, 4, 6</t>
  </si>
  <si>
    <t>ever_dpd_3m</t>
  </si>
  <si>
    <t>Pernah telat 3 bulan terakhir</t>
  </si>
  <si>
    <t>1 bila telat terlama 3 bulan terakhir lebih dari 0 hari.</t>
  </si>
  <si>
    <t>slik_behavior_segment</t>
  </si>
  <si>
    <t>Segmen perilaku SLIK (A-E)</t>
  </si>
  <si>
    <t>Pengelompokan berjenjang: E Writeoff bila ada hapus buku, D NPL bila Kol 12 bulan &gt;= 3, C Restructured bila ada restrukturisasi, B Past Due Ringan bila pernah telat, sisanya A Clean &amp; Current.</t>
  </si>
  <si>
    <t>risk_band_6m</t>
  </si>
  <si>
    <t>Band risiko 6 bulan</t>
  </si>
  <si>
    <t>Ringkasan Kol 6 bulan menjadi 4 kelompok: Lancar (Kol 1), Perhatian Khusus (Kol 2), Bermasalah/NPL (Kol 3-5), dan Tanpa Riwayat 6 Bulan.</t>
  </si>
  <si>
    <t>Daya pisah metrik</t>
  </si>
  <si>
    <t>|2 x AUC - 1|. Nilai 0 berarti metrik tidak bisa memisahkan pemohon baik dan buruk, 1 berarti sempurna. Di bawah 0,10 dianggap belum dapat dipakai untuk scorecard.</t>
  </si>
  <si>
    <t>Kekuatan informasi</t>
  </si>
  <si>
    <t>Information Value: seberapa berbeda sebaran pemohon baik dan buruk antar-kelompok. Harus dibaca bersama Gini karena IV bisa tinggi walau hubungannya tidak searah.</t>
  </si>
  <si>
    <t>Kol 1-5</t>
  </si>
  <si>
    <t>Kolektibilitas</t>
  </si>
  <si>
    <t>1 Lancar, 2 Dalam Perhatian Khusus, 3 Kurang Lancar, 4 Diragukan, 5 Macet. Kol 3-5 disebut NPL (gagal bayar).</t>
  </si>
  <si>
    <t>MOB</t>
  </si>
  <si>
    <t>Months on book (umur kredit)</t>
  </si>
  <si>
    <t>Umur fasilitas dalam bulan, dihitung dari tanggal awal kredit sampai bulan aplikasi.</t>
  </si>
  <si>
    <t>Desil</t>
  </si>
  <si>
    <t>Kelompok sepersepuluh</t>
  </si>
  <si>
    <t>587 pemohon diurutkan berdasarkan satu metrik lalu dibagi 10 kelompok berisi ~59 orang. Metrik yang baik akan menunjukkan gagal bayar naik konsisten dari desil 1 ke 10.</t>
  </si>
  <si>
    <t>Semua nilai uang dalam Rupiah. Posisi data = November 2023 (bulan pengajuan pinjaman). Sumber: tabel iDeb SLIK (grasp, facility, collectibility, demographic1, demographic2).</t>
  </si>
  <si>
    <t>Kualitas data, asumsi, dan batasan analisis</t>
  </si>
  <si>
    <t>Semua angka pada dashboard ini dihitung dengan definisi di bawah · setiap temuan data disertai cara penanganannya agar hasil dapat direproduksi</t>
  </si>
  <si>
    <t xml:space="preserve">  A. TEMUAN KUALITAS DATA DAN CARA PENANGANANNYA</t>
  </si>
  <si>
    <t>Topik</t>
  </si>
  <si>
    <t>Temuan pada data mentah</t>
  </si>
  <si>
    <t>Penanganan pada kueri / analisis</t>
  </si>
  <si>
    <t>Duplikat fasilitas</t>
  </si>
  <si>
    <t>14.660 baris fasilitas, tetapi hanya 14.633 kreditId unik: 27 fasilitas muncul lebih dari satu kali (sebagian dengan tanggalUpdate rusak).</t>
  </si>
  <si>
    <t>Dedup dengan ROW_NUMBER per kreditId: diambil snapshot paling baru (tanggalUpdate terbesar), bila seri diambil baki debet terbesar agar eksposur tidak dianggap lebih kecil dari kenyataan.</t>
  </si>
  <si>
    <t>Tanggal rusak</t>
  </si>
  <si>
    <t>3.483 sel tanggal berisi teks “#VALUE!”: tanggalKondisi 2.044, tanggalAkadAwal 1.128, tanggalUpdate 292, tanggalJatuhTempo 19. Menyentuh 2.612 baris dan 568 pemohon.</t>
  </si>
  <si>
    <t>Dibaca dengan SAFE.PARSE_DATE sehingga nilai rusak menjadi kosong, bukan menggagalkan kueri. Penting: tanggalAwalKredit bersih 100%, jadi perhitungan umur kredit (MOB) tidak terpengaruh.</t>
  </si>
  <si>
    <t>Dua skema sandi jenis kredit</t>
  </si>
  <si>
    <t>REF#15 memuat dua skema sekaligus: sandi lama (30 = Kartu Kredit, tersimpan sebagai X-30) dan Sandi Referensi baru (P05 = Kartu Kredit/Kartu Pembiayaan Syariah). Kedua skema muncul berdampingan di kolom jenisKredit.</t>
  </si>
  <si>
    <t>Seluruh 511 fasilitas X-30 sudah non-aktif, sementara 860 kartu kredit aktif memakai P05. Membaca sandi lama saja akan membuat ketiga kolom kartu kredit nol untuk seluruh 587 pemohon dan memindahkan Rp 73,0 miliar limit kartu kredit ke kolom KTA. Definisi yang dipakai di sini membaca X-30 dan P05 bersama-sama.</t>
  </si>
  <si>
    <t>Pemetaan lembaga</t>
  </si>
  <si>
    <t>Tabel ljk mapping berisi 2.701 baris untuk 2.264 kode: satu kode bisa punya beberapa nama (contoh kode 11 = Bank Danamon konvensional dan unit syariahnya).</t>
  </si>
  <si>
    <t>Nama lembaga di-dedup satu per kode hanya untuk keperluan label. Klasifikasi bank vs non-bank memakai pola kode (pembiayaan prefix 25 = non-bank; BPR 60, BPRS 62 dan bank umum = bank), bukan nama.</t>
  </si>
  <si>
    <t>Demografi tidak lengkap</t>
  </si>
  <si>
    <t>demographic2 hanya memuat 573 dari 587 pemohon, sehingga 14 pemohon tidak punya data pendidikan, pekerjaan, dan kota.</t>
  </si>
  <si>
    <t>Analisis demografi memakai basis yang tersedia dan jumlah pemohon per potongan ditulis apa adanya (n=573 untuk pendidikan). Tidak ada imputasi agar tidak menciptakan pola palsu.</t>
  </si>
  <si>
    <t>Tidak ada data penghasilan</t>
  </si>
  <si>
    <t>Dataset tidak memuat penghasilan atau pendapatan pemohon.</t>
  </si>
  <si>
    <t>Debt Burden Ratio / DSR tidak dapat dihitung. Beban cicilan hanya dilaporkan dalam nilai absolut (slik_installment). Bila penghasilan tersedia, rasio ini yang paling layak diuji lebih dulu.</t>
  </si>
  <si>
    <t>Riwayat terbatas</t>
  </si>
  <si>
    <t>Riwayat kolektibilitas dan tunggakan bulanan tersedia maksimal sampai Oktober 2023.</t>
  </si>
  <si>
    <t>Jendela 3, 6, 12, dan 24 bulan dihitung ke belakang dari Oktober 2023; bulan aplikasi (November 2023) tidak diikutkan agar tidak memakai informasi yang belum ada saat keputusan kredit dibuat.</t>
  </si>
  <si>
    <t xml:space="preserve">  B. ASUMSI DEFINISI (dasar: KODE REFERENSI OJK + profil data)</t>
  </si>
  <si>
    <t>Istilah</t>
  </si>
  <si>
    <t>Definisi yang dipakai</t>
  </si>
  <si>
    <t>Alasan / dasar</t>
  </si>
  <si>
    <t>Posisi data</t>
  </si>
  <si>
    <t>November 2023 = bulan pengajuan pinjaman.</t>
  </si>
  <si>
    <t>Diminta eksplisit oleh spesifikasi: tabel harus menggambarkan kondisi pemohon pada posisi pengajuan.</t>
  </si>
  <si>
    <t>Fasilitas aktif</t>
  </si>
  <si>
    <t>kondisi = 0.</t>
  </si>
  <si>
    <t>REF#24: sandi 00 = Fasilitas Aktif.</t>
  </si>
  <si>
    <t>Hapus buku</t>
  </si>
  <si>
    <t>kondisi 3 (dihapusbukukan) atau 4 (hapus tagih).</t>
  </si>
  <si>
    <t>REF#24. Hapus buku tidak dihitung sebagai lunas karena kewajiban pemohon belum selesai.</t>
  </si>
  <si>
    <t>Sudah ditutup</t>
  </si>
  <si>
    <t>kondisi 1, 2, 5, 6, 7, 8, 9, 11, 12.</t>
  </si>
  <si>
    <t>Kelompok sandi yang berarti debitur sudah tidak memiliki kewajiban (lunas, dibatalkan, dialihkan).</t>
  </si>
  <si>
    <t>Restrukturisasi</t>
  </si>
  <si>
    <t>sifatKredit = 1, atau frekuensiRestrukturisasi &gt; 0, atau tanggalRestrukturisasiAkhir terisi.</t>
  </si>
  <si>
    <t>REF#14. Tiga penanda dipakai sekaligus karena pelaporan antarlembaga tidak seragam; memakai satu penanda saja akan melewatkan sebagian kasus.</t>
  </si>
  <si>
    <t>Kartu kredit</t>
  </si>
  <si>
    <t>jenisKredit = X-30 atau P05.</t>
  </si>
  <si>
    <t>REF#15 memuat dua skema sandi yang dipakai berdampingan: sandi lama 30 = Kartu Kredit (tersimpan sebagai X-30) dan Sandi Referensi P05 = Kartu Kredit/Kartu Pembiayaan Syariah. Di dataset ini seluruh X-30 sudah non-aktif dan 860 kartu kredit aktif memakai P05, jadi membaca X-30 saja akan menihilkan seluruh kolom kartu kredit.</t>
  </si>
  <si>
    <t>Tanpa agunan</t>
  </si>
  <si>
    <t>jenisAgunan kosong.</t>
  </si>
  <si>
    <t>Tidak ada agunan yang dilaporkan pada fasilitas tersebut.</t>
  </si>
  <si>
    <t>KTA / personal loan</t>
  </si>
  <si>
    <t>Penggunaan konsumsi (jenisPenggunaan = 3), tanpa agunan, dan bukan kartu kredit.</t>
  </si>
  <si>
    <t>Kombinasi ini adalah definisi lazim KTA/cash loan, yaitu produk yang paling sebanding dengan pinjaman yang sedang diajukan.</t>
  </si>
  <si>
    <t>Lembaga non-bank</t>
  </si>
  <si>
    <t>Perusahaan pembiayaan (kode 6 digit berawalan 25), atau nama lembaga tanpa kata BANK / BPR / BPD dan kodenya tidak berawalan 60 / 62.</t>
  </si>
  <si>
    <t>Menangkap multifinance, modal ventura, dan lembaga keuangan lain. Bank umum, BPR (prefix 60), dan BPRS (prefix 62) dikelompokkan sebagai bank — pengecualian prefix diperlukan karena ada BPRS yang namanya tidak memuat kata BPR.</t>
  </si>
  <si>
    <t>Prioritas whitelist</t>
  </si>
  <si>
    <t>Berurutan: hapus buku -&gt; "1.Customer has Writeoff"; jika tidak, restrukturisasi -&gt; "2.Customer has Restru"; sisanya "3.Customer Others".</t>
  </si>
  <si>
    <t>Satu pemohon hanya boleh masuk satu kelompok. Urutan dipilih dari risiko terberat ke teringan sesuai contoh nilai pada spesifikasi.</t>
  </si>
  <si>
    <t>Kolom kosong vs nol</t>
  </si>
  <si>
    <t>Kolom hitung (count/sum) diisi 0; kolom nilai tertinggi/rata-rata dibiarkan kosong bila tidak ada fasilitas yang memenuhi kriteria.</t>
  </si>
  <si>
    <t>Kosong berarti “tidak ada data” dan 0 berarti “ada data, nilainya nol”. Membedakan keduanya mencegah rata-rata menjadi bias ke bawah.</t>
  </si>
  <si>
    <t>Penulisan angka</t>
  </si>
  <si>
    <t>Format Indonesia: titik sebagai pemisah ribuan, koma sebagai pemisah desimal.</t>
  </si>
  <si>
    <t>Menyesuaikan pembaca laporan di Indonesia.</t>
  </si>
  <si>
    <t xml:space="preserve">  C. CATATAN ATAS SPESIFIKASI DAN BATASAN ANALISIS</t>
  </si>
  <si>
    <t>Isi catatan</t>
  </si>
  <si>
    <t>Keputusan yang diambil</t>
  </si>
  <si>
    <t>Ketidakcocokan pada spesifikasi nomor 9</t>
  </si>
  <si>
    <t>Nama kolom ditulis Installment_personal_loan_active_sum dengan huruf I kapital, sementara 24 nama kolom lainnya seluruhnya huruf kecil.</t>
  </si>
  <si>
    <t>Kolom dibuat installment_personal_loan_active_sum agar penamaan 25 kolom seragam. Nama kolom di BigQuery case-insensitive saat dirujuk, jadi SELECT dengan ejaan spesifikasi tetap berhasil pada tabel yang diserahkan.</t>
  </si>
  <si>
    <t>Ketidakcocokan pada spesifikasi nomor 16</t>
  </si>
  <si>
    <t>Nama kolom yang diminta adalah collection_status_allcondition_last_12months_max, tetapi keterangannya berbunyi “maximum collection status ... last 6 months”, sama dengan keterangan nomor 15.</t>
  </si>
  <si>
    <t>Diikuti nama kolomnya, yaitu jendela 12 bulan, sehingga nomor 15 dan 16 memberi informasi berbeda (6 bulan dan 12 bulan). Bila yang dimaksud memang 6 bulan, cukup mengubah satu angka pada kueri.</t>
  </si>
  <si>
    <t>Dua kolom pada tab data_customer diisi nilai default</t>
  </si>
  <si>
    <t>Pada tab data_customer, kolektibilitas maks 12 bulan yang kosong diisi 1 (Lancar) dan hari telat maks 3 bulan yang kosong diisi 0 hari — 9 dan 12 sel, dari 587 baris.</t>
  </si>
  <si>
    <t>Hanya di tab itu, supaya filter SUMPRODUCT pada tab 7 memperlakukan pemohon tanpa riwayat sebagai tanpa catatan buruk, sama seperti perhitungan skenario di SQL dan Python. Tab data_agregat tetap memuat nilai asli tabel BigQuery (kosong = tidak ada riwayat).</t>
  </si>
  <si>
    <t>Kolom yang hampir seragam</t>
  </si>
  <si>
    <t>Dua kolom restrukturisasi hampir tidak bervariasi: flags_restructured_active_count nol pada 574 dari 587 pemohon dan flags_restructured_allcondition_unsecured_count nol pada 566 pemohon.</t>
  </si>
  <si>
    <t>Kolom tetap dibuat sesuai spesifikasi, tetapi tidak dipakai sebagai pembeda risiko karena kejadiannya terlalu jarang — dan hal ini dinyatakan terbuka, bukan disembunyikan.</t>
  </si>
  <si>
    <t>Target penilaian metrik</t>
  </si>
  <si>
    <t>Segmen perilaku dibentuk dari riwayat kolektibilitas 12 bulan, sehingga menilai metrik memakai ever_npl_12m akan memutar logika (target ikut membentuk prediktornya).</t>
  </si>
  <si>
    <t>Daya pisah metrik dinilai memakai npl_now_active, yaitu gagal bayar pada fasilitas yang masih aktif per November 2023. ever_npl_12m tetap ditampilkan hanya sebagai pembanding historis dan diberi label jelas.</t>
  </si>
  <si>
    <t>Ukuran sampel</t>
  </si>
  <si>
    <t>587 pemohon dengan 20 kasus gagal bayar aktif. Untuk potongan demografi, jumlah kasus per kelompok tinggal satuan.</t>
  </si>
  <si>
    <t>Selang kepercayaan 95% (metode Wilson) ditampilkan pada analisis demografi, dan kelompok kecil tidak dijadikan dasar rekomendasi kebijakan.</t>
  </si>
  <si>
    <t>Sifat rekomendasi</t>
  </si>
  <si>
    <t>Dampak kriteria baru dihitung dari data historis 587 pemohon ini, bukan dari uji coba berjalan.</t>
  </si>
  <si>
    <t>Rekomendasi diposisikan sebagai usulan untuk diuji lewat champion-challenger sebelum diberlakukan penuh.</t>
  </si>
  <si>
    <t>Reproduksi: sql/01_load_tables.sql -&gt; sql/02_slik_aggregated_table.sql -&gt; sql/03_analysis_views.sql (BigQuery). Seluruh angka pada workbook ini berasal dari view di file ketiga, dan logika kueri utama sudah diuji ulang lewat dua implementasi lokal (DuckDB dan pandas) yang membandingkan seluruh 587 x 25 sel dan identik.</t>
  </si>
  <si>
    <t>NIK</t>
  </si>
  <si>
    <t>flags_allcondition_count</t>
  </si>
  <si>
    <t>flags_restructured_active_count</t>
  </si>
  <si>
    <t>flags_chargewriteoff_count</t>
  </si>
  <si>
    <t>plafond_credit_card_active_max</t>
  </si>
  <si>
    <t>installment_active_max</t>
  </si>
  <si>
    <t>balance_personal_loan_active_sum</t>
  </si>
  <si>
    <t>plafond_credit_card_active_sum</t>
  </si>
  <si>
    <t>installment_personal_loan_active_sum</t>
  </si>
  <si>
    <t>balance_credit_card_active_sum</t>
  </si>
  <si>
    <t>mob_active_avg</t>
  </si>
  <si>
    <t>dpd_nonbank_allcondition_last_12months_max</t>
  </si>
  <si>
    <t>collection_status_closed_unsecured_last_24months_max</t>
  </si>
  <si>
    <t>dpd_allcondition_last_3months_max</t>
  </si>
  <si>
    <t>collection_status_allcondition_last_6months_max</t>
  </si>
  <si>
    <t>collection_status_allcondition_last_12months_max</t>
  </si>
  <si>
    <t>balance_unsecured_sum</t>
  </si>
  <si>
    <t>plafon_sum</t>
  </si>
  <si>
    <t>mob_allcondition_max</t>
  </si>
  <si>
    <t>balance_sum</t>
  </si>
  <si>
    <t>flags_active_dpd10plus_count</t>
  </si>
  <si>
    <t>flags_restructured_allcondition_unsecured_count</t>
  </si>
  <si>
    <t>slik_installment</t>
  </si>
  <si>
    <t>slik_exposure</t>
  </si>
  <si>
    <t>whitelist_flag</t>
  </si>
  <si>
    <t>1106200727740588</t>
  </si>
  <si>
    <t>1171020723880386</t>
  </si>
  <si>
    <t>1.Customer has Writeoff</t>
  </si>
  <si>
    <t>1171041229940602</t>
  </si>
  <si>
    <t>1171091206990460</t>
  </si>
  <si>
    <t>1173010831980916</t>
  </si>
  <si>
    <t>1207230916890433</t>
  </si>
  <si>
    <t>1207231226990994</t>
  </si>
  <si>
    <t>1207260701800268</t>
  </si>
  <si>
    <t>1208091007920582</t>
  </si>
  <si>
    <t>1209080919000627</t>
  </si>
  <si>
    <t>1209191001950881</t>
  </si>
  <si>
    <t>1209200519980410</t>
  </si>
  <si>
    <t>1210010505930820</t>
  </si>
  <si>
    <t>1210010625980089</t>
  </si>
  <si>
    <t>1210191005960524</t>
  </si>
  <si>
    <t>1216051228890239</t>
  </si>
  <si>
    <t>1271011220940844</t>
  </si>
  <si>
    <t>1271021230950762</t>
  </si>
  <si>
    <t>2.Customer has Restru</t>
  </si>
  <si>
    <t>1271030104990024</t>
  </si>
  <si>
    <t>1271100325910063</t>
  </si>
  <si>
    <t>1271120318960339</t>
  </si>
  <si>
    <t>1271141214930172</t>
  </si>
  <si>
    <t>1271170505830383</t>
  </si>
  <si>
    <t>1271170716800250</t>
  </si>
  <si>
    <t>1271191230950687</t>
  </si>
  <si>
    <t>1271200829840663</t>
  </si>
  <si>
    <t>1272021026850992</t>
  </si>
  <si>
    <t>1272060228960033</t>
  </si>
  <si>
    <t>1272060517910404</t>
  </si>
  <si>
    <t>1275030606840527</t>
  </si>
  <si>
    <t>1276020509010488</t>
  </si>
  <si>
    <t>1276051014880801</t>
  </si>
  <si>
    <t>1277011117940577</t>
  </si>
  <si>
    <t>1305020319010996</t>
  </si>
  <si>
    <t>1305140730980981</t>
  </si>
  <si>
    <t>1307011006950992</t>
  </si>
  <si>
    <t>1311010110830281</t>
  </si>
  <si>
    <t>1371110218930180</t>
  </si>
  <si>
    <t>1371110418860889</t>
  </si>
  <si>
    <t>1375011005990542</t>
  </si>
  <si>
    <t>1375020508990025</t>
  </si>
  <si>
    <t>1401040827950804</t>
  </si>
  <si>
    <t>1403090821000340</t>
  </si>
  <si>
    <t>1471040301850647</t>
  </si>
  <si>
    <t>1471041120870466</t>
  </si>
  <si>
    <t>1471060728920958</t>
  </si>
  <si>
    <t>1471090612740375</t>
  </si>
  <si>
    <t>1471120204870079</t>
  </si>
  <si>
    <t>1501090427950292</t>
  </si>
  <si>
    <t>1571021010890680</t>
  </si>
  <si>
    <t>1571030125720046</t>
  </si>
  <si>
    <t>1601130617010835</t>
  </si>
  <si>
    <t>1604100703940734</t>
  </si>
  <si>
    <t>1671010710870623</t>
  </si>
  <si>
    <t>1671020331970084</t>
  </si>
  <si>
    <t>1671040803960316</t>
  </si>
  <si>
    <t>1671060713910111</t>
  </si>
  <si>
    <t>1671070317950374</t>
  </si>
  <si>
    <t>1801041031970556</t>
  </si>
  <si>
    <t>1801100430980231</t>
  </si>
  <si>
    <t>1802070418950026</t>
  </si>
  <si>
    <t>1806011028830475</t>
  </si>
  <si>
    <t>1808021209960643</t>
  </si>
  <si>
    <t>1810010708940511</t>
  </si>
  <si>
    <t>1810011109960685</t>
  </si>
  <si>
    <t>1871021029750746</t>
  </si>
  <si>
    <t>1871060514020046</t>
  </si>
  <si>
    <t>1871071113860410</t>
  </si>
  <si>
    <t>1871090910020231</t>
  </si>
  <si>
    <t>1901021005960075</t>
  </si>
  <si>
    <t>1902010201950939</t>
  </si>
  <si>
    <t>1902010508950996</t>
  </si>
  <si>
    <t>2101060930970370</t>
  </si>
  <si>
    <t>2171020805000901</t>
  </si>
  <si>
    <t>2171060113920052</t>
  </si>
  <si>
    <t>2171060324930770</t>
  </si>
  <si>
    <t>2171120531000080</t>
  </si>
  <si>
    <t>2172040204810269</t>
  </si>
  <si>
    <t>3171010223800516</t>
  </si>
  <si>
    <t>3171020101820551</t>
  </si>
  <si>
    <t>3171020823920780</t>
  </si>
  <si>
    <t>3171021206970209</t>
  </si>
  <si>
    <t>3171031004000210</t>
  </si>
  <si>
    <t>3171050806980520</t>
  </si>
  <si>
    <t>3171050821770895</t>
  </si>
  <si>
    <t>3171060422990996</t>
  </si>
  <si>
    <t>3171060513830175</t>
  </si>
  <si>
    <t>3171060708770585</t>
  </si>
  <si>
    <t>3171070302850705</t>
  </si>
  <si>
    <t>3171070729710069</t>
  </si>
  <si>
    <t>3171080903950268</t>
  </si>
  <si>
    <t>3171080917850292</t>
  </si>
  <si>
    <t>3172010216970594</t>
  </si>
  <si>
    <t>3172010406960415</t>
  </si>
  <si>
    <t>3172010515770232</t>
  </si>
  <si>
    <t>3172010528820137</t>
  </si>
  <si>
    <t>3172010712970284</t>
  </si>
  <si>
    <t>3172010730680868</t>
  </si>
  <si>
    <t>3172010908970303</t>
  </si>
  <si>
    <t>3172011206890185</t>
  </si>
  <si>
    <t>3172020308900628</t>
  </si>
  <si>
    <t>3172020410980980</t>
  </si>
  <si>
    <t>3172020710970820</t>
  </si>
  <si>
    <t>3172031201850996</t>
  </si>
  <si>
    <t>3172040621860865</t>
  </si>
  <si>
    <t>3172040731000366</t>
  </si>
  <si>
    <t>3172040903790644</t>
  </si>
  <si>
    <t>3172041228990871</t>
  </si>
  <si>
    <t>3172060220800380</t>
  </si>
  <si>
    <t>3172060303860459</t>
  </si>
  <si>
    <t>3172060505760249</t>
  </si>
  <si>
    <t>3172060526690712</t>
  </si>
  <si>
    <t>3172060729020894</t>
  </si>
  <si>
    <t>3172060801890023</t>
  </si>
  <si>
    <t>3172061109870486</t>
  </si>
  <si>
    <t>3172061123890659</t>
  </si>
  <si>
    <t>3173010103900369</t>
  </si>
  <si>
    <t>3173010525020902</t>
  </si>
  <si>
    <t>3173010615950592</t>
  </si>
  <si>
    <t>3173010712020120</t>
  </si>
  <si>
    <t>3173011005880074</t>
  </si>
  <si>
    <t>3173020104990876</t>
  </si>
  <si>
    <t>3173020119910337</t>
  </si>
  <si>
    <t>3173020123780531</t>
  </si>
  <si>
    <t>3173020809790919</t>
  </si>
  <si>
    <t>3173020906690265</t>
  </si>
  <si>
    <t>3173020927830892</t>
  </si>
  <si>
    <t>3173030225860480</t>
  </si>
  <si>
    <t>3173030530840200</t>
  </si>
  <si>
    <t>3173030921040531</t>
  </si>
  <si>
    <t>3173031108980531</t>
  </si>
  <si>
    <t>3173040109960376</t>
  </si>
  <si>
    <t>3173040201960770</t>
  </si>
  <si>
    <t>3173040412930815</t>
  </si>
  <si>
    <t>3173040601830830</t>
  </si>
  <si>
    <t>3173040828850546</t>
  </si>
  <si>
    <t>3173040913980356</t>
  </si>
  <si>
    <t>3173041012000207</t>
  </si>
  <si>
    <t>3173041206970458</t>
  </si>
  <si>
    <t>3173050705820078</t>
  </si>
  <si>
    <t>3173051212830349</t>
  </si>
  <si>
    <t>3173060324890840</t>
  </si>
  <si>
    <t>3173060404920274</t>
  </si>
  <si>
    <t>3173060516880187</t>
  </si>
  <si>
    <t>3173060811880977</t>
  </si>
  <si>
    <t>3173060818880760</t>
  </si>
  <si>
    <t>3173061125830603</t>
  </si>
  <si>
    <t>3173061127950923</t>
  </si>
  <si>
    <t>3173070120810472</t>
  </si>
  <si>
    <t>3173080206030046</t>
  </si>
  <si>
    <t>3173080309970412</t>
  </si>
  <si>
    <t>3173080405960251</t>
  </si>
  <si>
    <t>3173080427900823</t>
  </si>
  <si>
    <t>3173080519000224</t>
  </si>
  <si>
    <t>3173080609900878</t>
  </si>
  <si>
    <t>3173080719730500</t>
  </si>
  <si>
    <t>3173081029690449</t>
  </si>
  <si>
    <t>3173081118000681</t>
  </si>
  <si>
    <t>3174010128820074</t>
  </si>
  <si>
    <t>3174010218710604</t>
  </si>
  <si>
    <t>3174010930940914</t>
  </si>
  <si>
    <t>3174011019680563</t>
  </si>
  <si>
    <t>3174011104990189</t>
  </si>
  <si>
    <t>3174020126930933</t>
  </si>
  <si>
    <t>3174020425890879</t>
  </si>
  <si>
    <t>3174020508830456</t>
  </si>
  <si>
    <t>3174020718960719</t>
  </si>
  <si>
    <t>3174020829760712</t>
  </si>
  <si>
    <t>3174021106940223</t>
  </si>
  <si>
    <t>3174030825690333</t>
  </si>
  <si>
    <t>3174031213800053</t>
  </si>
  <si>
    <t>3174040905030215</t>
  </si>
  <si>
    <t>3174050107780252</t>
  </si>
  <si>
    <t>3174050407940383</t>
  </si>
  <si>
    <t>3174050915810020</t>
  </si>
  <si>
    <t>3174051025720196</t>
  </si>
  <si>
    <t>3174060216740436</t>
  </si>
  <si>
    <t>3174060221990915</t>
  </si>
  <si>
    <t>3174061006760594</t>
  </si>
  <si>
    <t>3174070119870984</t>
  </si>
  <si>
    <t>3174070327870085</t>
  </si>
  <si>
    <t>3174070402690021</t>
  </si>
  <si>
    <t>3174070418860853</t>
  </si>
  <si>
    <t>3174080412620023</t>
  </si>
  <si>
    <t>3174080414740582</t>
  </si>
  <si>
    <t>3174080530930887</t>
  </si>
  <si>
    <t>3174090302900457</t>
  </si>
  <si>
    <t>3174090515760158</t>
  </si>
  <si>
    <t>3174090810980183</t>
  </si>
  <si>
    <t>3174100424940275</t>
  </si>
  <si>
    <t>3174100803950558</t>
  </si>
  <si>
    <t>3175010105890555</t>
  </si>
  <si>
    <t>3175010224870932</t>
  </si>
  <si>
    <t>3175011228030028</t>
  </si>
  <si>
    <t>3175020322960218</t>
  </si>
  <si>
    <t>3175020604800889</t>
  </si>
  <si>
    <t>3175021010860439</t>
  </si>
  <si>
    <t>3175030331980403</t>
  </si>
  <si>
    <t>3175030606960550</t>
  </si>
  <si>
    <t>3175030612920706</t>
  </si>
  <si>
    <t>3175030816980728</t>
  </si>
  <si>
    <t>3175031009860125</t>
  </si>
  <si>
    <t>3175031012690311</t>
  </si>
  <si>
    <t>3175031101800886</t>
  </si>
  <si>
    <t>3175040203890420</t>
  </si>
  <si>
    <t>3175040413670692</t>
  </si>
  <si>
    <t>3175040715010654</t>
  </si>
  <si>
    <t>3175041013020486</t>
  </si>
  <si>
    <t>3175050103910154</t>
  </si>
  <si>
    <t>3175050403000083</t>
  </si>
  <si>
    <t>3175060201810532</t>
  </si>
  <si>
    <t>3175060718050539</t>
  </si>
  <si>
    <t>3175061221980885</t>
  </si>
  <si>
    <t>3175070612940136</t>
  </si>
  <si>
    <t>3175070721740223</t>
  </si>
  <si>
    <t>3175070827000767</t>
  </si>
  <si>
    <t>3175070921990258</t>
  </si>
  <si>
    <t>3175070929940857</t>
  </si>
  <si>
    <t>3175071017770782</t>
  </si>
  <si>
    <t>3175071124020702</t>
  </si>
  <si>
    <t>3175071208880751</t>
  </si>
  <si>
    <t>3175071215910648</t>
  </si>
  <si>
    <t>3175080520970737</t>
  </si>
  <si>
    <t>3175080811970388</t>
  </si>
  <si>
    <t>3175100416050483</t>
  </si>
  <si>
    <t>3175100925880172</t>
  </si>
  <si>
    <t>3175101125900619</t>
  </si>
  <si>
    <t>3175101215950942</t>
  </si>
  <si>
    <t>3201010330960498</t>
  </si>
  <si>
    <t>3201010706980686</t>
  </si>
  <si>
    <t>3201010929010864</t>
  </si>
  <si>
    <t>3201020109700315</t>
  </si>
  <si>
    <t>3201121105960099</t>
  </si>
  <si>
    <t>3201150411960945</t>
  </si>
  <si>
    <t>3201170824010751</t>
  </si>
  <si>
    <t>3201220312920221</t>
  </si>
  <si>
    <t>3201250201060855</t>
  </si>
  <si>
    <t>3201270801990092</t>
  </si>
  <si>
    <t>3201271025710666</t>
  </si>
  <si>
    <t>3201300903890796</t>
  </si>
  <si>
    <t>3202160822970388</t>
  </si>
  <si>
    <t>3203010725010045</t>
  </si>
  <si>
    <t>3203290630000275</t>
  </si>
  <si>
    <t>3204280805850101</t>
  </si>
  <si>
    <t>3205011106910319</t>
  </si>
  <si>
    <t>3205020327980620</t>
  </si>
  <si>
    <t>3205020420980098</t>
  </si>
  <si>
    <t>3205171031760746</t>
  </si>
  <si>
    <t>3205400428970471</t>
  </si>
  <si>
    <t>3206220613810633</t>
  </si>
  <si>
    <t>3206340301820743</t>
  </si>
  <si>
    <t>3206380321970590</t>
  </si>
  <si>
    <t>3208060807980569</t>
  </si>
  <si>
    <t>3208241002990894</t>
  </si>
  <si>
    <t>3209180225000882</t>
  </si>
  <si>
    <t>3209261123950962</t>
  </si>
  <si>
    <t>3210061111890443</t>
  </si>
  <si>
    <t>3210110529770349</t>
  </si>
  <si>
    <t>3210150628880484</t>
  </si>
  <si>
    <t>3210150915880867</t>
  </si>
  <si>
    <t>3210151114870825</t>
  </si>
  <si>
    <t>3211080311010876</t>
  </si>
  <si>
    <t>3212070124830469</t>
  </si>
  <si>
    <t>3212120907970083</t>
  </si>
  <si>
    <t>3212150502880847</t>
  </si>
  <si>
    <t>3212280707960317</t>
  </si>
  <si>
    <t>3213030516020742</t>
  </si>
  <si>
    <t>3213090304950517</t>
  </si>
  <si>
    <t>3213161115760799</t>
  </si>
  <si>
    <t>3215060321000746</t>
  </si>
  <si>
    <t>3215141111050792</t>
  </si>
  <si>
    <t>3215150827860515</t>
  </si>
  <si>
    <t>3215150913790567</t>
  </si>
  <si>
    <t>3215250629030591</t>
  </si>
  <si>
    <t>3216010603040617</t>
  </si>
  <si>
    <t>3216011012850981</t>
  </si>
  <si>
    <t>3216060503000064</t>
  </si>
  <si>
    <t>3216061022770661</t>
  </si>
  <si>
    <t>3216081214010738</t>
  </si>
  <si>
    <t>3216090525940510</t>
  </si>
  <si>
    <t>3216190527000740</t>
  </si>
  <si>
    <t>3217041007900956</t>
  </si>
  <si>
    <t>3217080222060374</t>
  </si>
  <si>
    <t>3271020809740195</t>
  </si>
  <si>
    <t>3271030311710636</t>
  </si>
  <si>
    <t>3271030531880390</t>
  </si>
  <si>
    <t>3271040130960496</t>
  </si>
  <si>
    <t>3271040708970131</t>
  </si>
  <si>
    <t>3271050314830601</t>
  </si>
  <si>
    <t>3271060102780460</t>
  </si>
  <si>
    <t>3271060420830885</t>
  </si>
  <si>
    <t>3271060530970842</t>
  </si>
  <si>
    <t>3271060911930842</t>
  </si>
  <si>
    <t>3271061227020715</t>
  </si>
  <si>
    <t>3272040429930283</t>
  </si>
  <si>
    <t>3273010111750775</t>
  </si>
  <si>
    <t>3273010408970595</t>
  </si>
  <si>
    <t>3273010423840191</t>
  </si>
  <si>
    <t>3273010508010766</t>
  </si>
  <si>
    <t>3273010707720158</t>
  </si>
  <si>
    <t>3273020220870601</t>
  </si>
  <si>
    <t>3273030308840593</t>
  </si>
  <si>
    <t>3273040403040277</t>
  </si>
  <si>
    <t>3273050502760317</t>
  </si>
  <si>
    <t>3273070514960947</t>
  </si>
  <si>
    <t>3273090124830031</t>
  </si>
  <si>
    <t>3273100814860929</t>
  </si>
  <si>
    <t>3273110525940819</t>
  </si>
  <si>
    <t>3273111224940687</t>
  </si>
  <si>
    <t>3273130128910707</t>
  </si>
  <si>
    <t>3273150222040396</t>
  </si>
  <si>
    <t>3273150319000990</t>
  </si>
  <si>
    <t>3273180211850828</t>
  </si>
  <si>
    <t>3273190402910626</t>
  </si>
  <si>
    <t>3273191002950830</t>
  </si>
  <si>
    <t>3273220922900890</t>
  </si>
  <si>
    <t>3273230317970812</t>
  </si>
  <si>
    <t>3273230827010918</t>
  </si>
  <si>
    <t>3273231105940688</t>
  </si>
  <si>
    <t>3273240609900896</t>
  </si>
  <si>
    <t>3273280122990668</t>
  </si>
  <si>
    <t>3273281001950283</t>
  </si>
  <si>
    <t>3273281224880995</t>
  </si>
  <si>
    <t>3274020903850355</t>
  </si>
  <si>
    <t>3275010217850394</t>
  </si>
  <si>
    <t>3275020203780913</t>
  </si>
  <si>
    <t>3275020501990431</t>
  </si>
  <si>
    <t>3275020826880388</t>
  </si>
  <si>
    <t>3275021105900250</t>
  </si>
  <si>
    <t>3275030115960264</t>
  </si>
  <si>
    <t>3275030608940112</t>
  </si>
  <si>
    <t>3275030902790656</t>
  </si>
  <si>
    <t>3275031012970970</t>
  </si>
  <si>
    <t>3275040810940272</t>
  </si>
  <si>
    <t>3275040923940377</t>
  </si>
  <si>
    <t>3275041210910681</t>
  </si>
  <si>
    <t>3275050815000835</t>
  </si>
  <si>
    <t>3275051121910874</t>
  </si>
  <si>
    <t>3275051127000299</t>
  </si>
  <si>
    <t>3275051217930242</t>
  </si>
  <si>
    <t>3275080729820124</t>
  </si>
  <si>
    <t>3275090324030579</t>
  </si>
  <si>
    <t>3275090709920859</t>
  </si>
  <si>
    <t>3275091102020106</t>
  </si>
  <si>
    <t>3275091224890402</t>
  </si>
  <si>
    <t>3275100105850040</t>
  </si>
  <si>
    <t>3275101211860755</t>
  </si>
  <si>
    <t>3275120713000288</t>
  </si>
  <si>
    <t>3275121218820555</t>
  </si>
  <si>
    <t>3275121221950753</t>
  </si>
  <si>
    <t>3276010612980762</t>
  </si>
  <si>
    <t>3276010831930844</t>
  </si>
  <si>
    <t>3276020626020718</t>
  </si>
  <si>
    <t>3276021028940940</t>
  </si>
  <si>
    <t>3276021222800694</t>
  </si>
  <si>
    <t>3276030825660066</t>
  </si>
  <si>
    <t>3276030925780095</t>
  </si>
  <si>
    <t>3276031026950429</t>
  </si>
  <si>
    <t>3276040103970699</t>
  </si>
  <si>
    <t>3276051102980813</t>
  </si>
  <si>
    <t>3276060622940296</t>
  </si>
  <si>
    <t>3276061014810700</t>
  </si>
  <si>
    <t>3276080908980952</t>
  </si>
  <si>
    <t>3276110812990088</t>
  </si>
  <si>
    <t>3277010520860872</t>
  </si>
  <si>
    <t>3277010824910031</t>
  </si>
  <si>
    <t>3277030311880298</t>
  </si>
  <si>
    <t>3277030526750769</t>
  </si>
  <si>
    <t>3278030317960370</t>
  </si>
  <si>
    <t>3278060213960756</t>
  </si>
  <si>
    <t>3301080321960829</t>
  </si>
  <si>
    <t>3301110605970196</t>
  </si>
  <si>
    <t>3301141016990040</t>
  </si>
  <si>
    <t>3301200823930781</t>
  </si>
  <si>
    <t>3301221107870640</t>
  </si>
  <si>
    <t>3302040608780986</t>
  </si>
  <si>
    <t>3302110502920585</t>
  </si>
  <si>
    <t>3302270923820027</t>
  </si>
  <si>
    <t>3304120811000384</t>
  </si>
  <si>
    <t>3305091227940939</t>
  </si>
  <si>
    <t>3305111027950802</t>
  </si>
  <si>
    <t>3305201209890862</t>
  </si>
  <si>
    <t>3306100119950208</t>
  </si>
  <si>
    <t>3307090404920052</t>
  </si>
  <si>
    <t>3308020425980616</t>
  </si>
  <si>
    <t>3310160504870026</t>
  </si>
  <si>
    <t>3310161129970109</t>
  </si>
  <si>
    <t>3311090708950356</t>
  </si>
  <si>
    <t>3312120625030515</t>
  </si>
  <si>
    <t>3315060512960764</t>
  </si>
  <si>
    <t>3315180821030398</t>
  </si>
  <si>
    <t>3316040321950343</t>
  </si>
  <si>
    <t>3316060721020394</t>
  </si>
  <si>
    <t>3317070614040847</t>
  </si>
  <si>
    <t>3318080627830327</t>
  </si>
  <si>
    <t>3324160514920302</t>
  </si>
  <si>
    <t>3326060325960939</t>
  </si>
  <si>
    <t>3327070413030415</t>
  </si>
  <si>
    <t>3327081017970049</t>
  </si>
  <si>
    <t>3327130315010992</t>
  </si>
  <si>
    <t>3328021212970508</t>
  </si>
  <si>
    <t>3328110428980749</t>
  </si>
  <si>
    <t>3373040212920659</t>
  </si>
  <si>
    <t>3374010218970136</t>
  </si>
  <si>
    <t>3374010228970227</t>
  </si>
  <si>
    <t>3374070707860224</t>
  </si>
  <si>
    <t>3374070720010734</t>
  </si>
  <si>
    <t>3374080825920486</t>
  </si>
  <si>
    <t>3374090713960761</t>
  </si>
  <si>
    <t>3374110424880795</t>
  </si>
  <si>
    <t>3374110429900044</t>
  </si>
  <si>
    <t>3375020413800029</t>
  </si>
  <si>
    <t>3375030721910437</t>
  </si>
  <si>
    <t>3376031130010503</t>
  </si>
  <si>
    <t>3402120806890519</t>
  </si>
  <si>
    <t>3402120915830035</t>
  </si>
  <si>
    <t>3402151022740465</t>
  </si>
  <si>
    <t>3403050701950980</t>
  </si>
  <si>
    <t>3404070328820624</t>
  </si>
  <si>
    <t>3404070423840466</t>
  </si>
  <si>
    <t>3404071118770925</t>
  </si>
  <si>
    <t>3404071226960057</t>
  </si>
  <si>
    <t>3404080111990759</t>
  </si>
  <si>
    <t>3404080130920873</t>
  </si>
  <si>
    <t>3501040227000061</t>
  </si>
  <si>
    <t>3502080607950670</t>
  </si>
  <si>
    <t>3504160407960773</t>
  </si>
  <si>
    <t>3505090909890628</t>
  </si>
  <si>
    <t>3505090917850747</t>
  </si>
  <si>
    <t>3505140117960817</t>
  </si>
  <si>
    <t>3505181026960616</t>
  </si>
  <si>
    <t>3506151007020388</t>
  </si>
  <si>
    <t>3507061122000919</t>
  </si>
  <si>
    <t>3507111022010131</t>
  </si>
  <si>
    <t>3507180426950872</t>
  </si>
  <si>
    <t>3507180924980787</t>
  </si>
  <si>
    <t>3507240203780698</t>
  </si>
  <si>
    <t>3508100104880971</t>
  </si>
  <si>
    <t>3509060407950079</t>
  </si>
  <si>
    <t>3509190424770082</t>
  </si>
  <si>
    <t>3509270821840284</t>
  </si>
  <si>
    <t>3510121015990157</t>
  </si>
  <si>
    <t>3510190701930857</t>
  </si>
  <si>
    <t>3510221016960433</t>
  </si>
  <si>
    <t>3511110815870065</t>
  </si>
  <si>
    <t>3512060815980675</t>
  </si>
  <si>
    <t>3513180927900550</t>
  </si>
  <si>
    <t>3514080510870282</t>
  </si>
  <si>
    <t>3514180920950363</t>
  </si>
  <si>
    <t>3515080722000491</t>
  </si>
  <si>
    <t>3515111118800212</t>
  </si>
  <si>
    <t>3516131029990670</t>
  </si>
  <si>
    <t>3521090826830289</t>
  </si>
  <si>
    <t>3523160719900638</t>
  </si>
  <si>
    <t>3525060521860800</t>
  </si>
  <si>
    <t>3525080105070755</t>
  </si>
  <si>
    <t>3525150222970749</t>
  </si>
  <si>
    <t>3571020831940760</t>
  </si>
  <si>
    <t>3572020524830634</t>
  </si>
  <si>
    <t>3573010312010122</t>
  </si>
  <si>
    <t>3573021123800122</t>
  </si>
  <si>
    <t>3573030901950912</t>
  </si>
  <si>
    <t>3573040913920273</t>
  </si>
  <si>
    <t>3574030802880859</t>
  </si>
  <si>
    <t>3577010223950254</t>
  </si>
  <si>
    <t>3577010404030677</t>
  </si>
  <si>
    <t>3577010730000878</t>
  </si>
  <si>
    <t>3578070723760384</t>
  </si>
  <si>
    <t>3578080105930087</t>
  </si>
  <si>
    <t>3578080717850875</t>
  </si>
  <si>
    <t>3578081014790340</t>
  </si>
  <si>
    <t>3578090222030598</t>
  </si>
  <si>
    <t>3578090913940276</t>
  </si>
  <si>
    <t>3578120204770492</t>
  </si>
  <si>
    <t>3578131125950364</t>
  </si>
  <si>
    <t>3578150407010904</t>
  </si>
  <si>
    <t>3578231128910792</t>
  </si>
  <si>
    <t>3578260122920609</t>
  </si>
  <si>
    <t>3578260916990102</t>
  </si>
  <si>
    <t>3578270613730830</t>
  </si>
  <si>
    <t>3578271124940079</t>
  </si>
  <si>
    <t>3578310408680553</t>
  </si>
  <si>
    <t>3579021109830348</t>
  </si>
  <si>
    <t>3603090103050051</t>
  </si>
  <si>
    <t>3603120322970323</t>
  </si>
  <si>
    <t>3603120705000564</t>
  </si>
  <si>
    <t>3603121026010991</t>
  </si>
  <si>
    <t>3603170731740647</t>
  </si>
  <si>
    <t>3603220623980859</t>
  </si>
  <si>
    <t>3603221220660699</t>
  </si>
  <si>
    <t>3603280320990681</t>
  </si>
  <si>
    <t>3603281127880826</t>
  </si>
  <si>
    <t>3603300206870234</t>
  </si>
  <si>
    <t>3604010527910952</t>
  </si>
  <si>
    <t>3604020701010465</t>
  </si>
  <si>
    <t>3604090613880416</t>
  </si>
  <si>
    <t>3604190730010975</t>
  </si>
  <si>
    <t>3671010113730879</t>
  </si>
  <si>
    <t>3671010311880427</t>
  </si>
  <si>
    <t>3671010609030206</t>
  </si>
  <si>
    <t>3671010818860403</t>
  </si>
  <si>
    <t>3671011220720740</t>
  </si>
  <si>
    <t>3671030110010159</t>
  </si>
  <si>
    <t>3671040726760658</t>
  </si>
  <si>
    <t>3671050316970283</t>
  </si>
  <si>
    <t>3671060120840706</t>
  </si>
  <si>
    <t>3671070126940281</t>
  </si>
  <si>
    <t>3671070614880819</t>
  </si>
  <si>
    <t>3671070730900095</t>
  </si>
  <si>
    <t>3671090406770802</t>
  </si>
  <si>
    <t>3671090806970445</t>
  </si>
  <si>
    <t>3671090911920882</t>
  </si>
  <si>
    <t>3671110409820399</t>
  </si>
  <si>
    <t>3671110704760455</t>
  </si>
  <si>
    <t>3671120104030677</t>
  </si>
  <si>
    <t>3671120405910454</t>
  </si>
  <si>
    <t>3671120808850458</t>
  </si>
  <si>
    <t>3671120812000213</t>
  </si>
  <si>
    <t>3671120823020211</t>
  </si>
  <si>
    <t>3673010124020732</t>
  </si>
  <si>
    <t>3673051214950914</t>
  </si>
  <si>
    <t>3674010815970793</t>
  </si>
  <si>
    <t>3674011113680769</t>
  </si>
  <si>
    <t>3674011130860764</t>
  </si>
  <si>
    <t>3674011214880367</t>
  </si>
  <si>
    <t>3674021214900540</t>
  </si>
  <si>
    <t>3674030421990607</t>
  </si>
  <si>
    <t>3674040217020191</t>
  </si>
  <si>
    <t>3674040323890031</t>
  </si>
  <si>
    <t>3674050719890053</t>
  </si>
  <si>
    <t>3674050909870452</t>
  </si>
  <si>
    <t>3674051206000348</t>
  </si>
  <si>
    <t>3674060311870219</t>
  </si>
  <si>
    <t>3674060812830641</t>
  </si>
  <si>
    <t>3674061007980473</t>
  </si>
  <si>
    <t>5103020531970721</t>
  </si>
  <si>
    <t>5103020902890606</t>
  </si>
  <si>
    <t>5104060525020070</t>
  </si>
  <si>
    <t>5108021007910334</t>
  </si>
  <si>
    <t>5171010523900952</t>
  </si>
  <si>
    <t>5171011001930908</t>
  </si>
  <si>
    <t>5171011221810217</t>
  </si>
  <si>
    <t>5171020123990370</t>
  </si>
  <si>
    <t>5171020708950473</t>
  </si>
  <si>
    <t>5202070514920361</t>
  </si>
  <si>
    <t>5203010905980666</t>
  </si>
  <si>
    <t>5204050518940722</t>
  </si>
  <si>
    <t>5205011209860541</t>
  </si>
  <si>
    <t>5271030831850400</t>
  </si>
  <si>
    <t>5271031216740315</t>
  </si>
  <si>
    <t>6103030605940715</t>
  </si>
  <si>
    <t>6112010311970670</t>
  </si>
  <si>
    <t>6171020301000561</t>
  </si>
  <si>
    <t>6208031013970106</t>
  </si>
  <si>
    <t>6271030913830446</t>
  </si>
  <si>
    <t>6301030126930346</t>
  </si>
  <si>
    <t>6307060822930405</t>
  </si>
  <si>
    <t>6371010918000849</t>
  </si>
  <si>
    <t>6371031004920814</t>
  </si>
  <si>
    <t>6371040127740582</t>
  </si>
  <si>
    <t>6371040228930793</t>
  </si>
  <si>
    <t>6402071126970167</t>
  </si>
  <si>
    <t>6407070927940451</t>
  </si>
  <si>
    <t>6409010715830273</t>
  </si>
  <si>
    <t>6471030603930293</t>
  </si>
  <si>
    <t>6471050921790425</t>
  </si>
  <si>
    <t>6472050323940712</t>
  </si>
  <si>
    <t>6472061116890366</t>
  </si>
  <si>
    <t>6473010623870371</t>
  </si>
  <si>
    <t>6474020618940197</t>
  </si>
  <si>
    <t>7106020824770735</t>
  </si>
  <si>
    <t>7106031020960886</t>
  </si>
  <si>
    <t>7171090509980861</t>
  </si>
  <si>
    <t>7314041104000837</t>
  </si>
  <si>
    <t>7318050714870364</t>
  </si>
  <si>
    <t>7371010902880272</t>
  </si>
  <si>
    <t>7371021130680537</t>
  </si>
  <si>
    <t>7371050405950526</t>
  </si>
  <si>
    <t>7371090401980620</t>
  </si>
  <si>
    <t>7371130303920159</t>
  </si>
  <si>
    <t>7372040817860385</t>
  </si>
  <si>
    <t>7471031027970628</t>
  </si>
  <si>
    <t>7471050916970828</t>
  </si>
  <si>
    <t>8171020906830307</t>
  </si>
  <si>
    <t>8271060712970316</t>
  </si>
  <si>
    <t>9102010919960846</t>
  </si>
  <si>
    <t>9117011203810249</t>
  </si>
  <si>
    <t>kol_6m_label</t>
  </si>
  <si>
    <t>kol_12m_label</t>
  </si>
  <si>
    <t>is_thin_file</t>
  </si>
  <si>
    <t>age_group</t>
  </si>
  <si>
    <t>gender</t>
  </si>
  <si>
    <t>marital_status</t>
  </si>
  <si>
    <t>pekerjaan</t>
  </si>
  <si>
    <t>kab_kota</t>
  </si>
  <si>
    <t>industry</t>
  </si>
  <si>
    <t>A. Clean &amp; Current</t>
  </si>
  <si>
    <t>Kol 1 - Lancar</t>
  </si>
  <si>
    <t>45-49</t>
  </si>
  <si>
    <t>MALE</t>
  </si>
  <si>
    <t>Married</t>
  </si>
  <si>
    <t>S-1</t>
  </si>
  <si>
    <t>Administrasi umum</t>
  </si>
  <si>
    <t>Kab. Purwakarta</t>
  </si>
  <si>
    <t>Industry</t>
  </si>
  <si>
    <t>E. Writeoff</t>
  </si>
  <si>
    <t>35-39</t>
  </si>
  <si>
    <t>Single</t>
  </si>
  <si>
    <t>Lain-lain</t>
  </si>
  <si>
    <t>Wil. Kota Jakarta Selatan</t>
  </si>
  <si>
    <t>Banking / Insurance / Finance</t>
  </si>
  <si>
    <t>25-29</t>
  </si>
  <si>
    <t>S-2</t>
  </si>
  <si>
    <t>Wiraswasta</t>
  </si>
  <si>
    <t>Kota Banda Aceh</t>
  </si>
  <si>
    <t>Transportation</t>
  </si>
  <si>
    <t>20-24</t>
  </si>
  <si>
    <t>Pegawai Pemerintahan/Lembaga Negara (selain Pejabat/Penyelenggara Negara)</t>
  </si>
  <si>
    <t>Trading</t>
  </si>
  <si>
    <t>FEMALE</t>
  </si>
  <si>
    <t>Information and Technology</t>
  </si>
  <si>
    <t>30-34</t>
  </si>
  <si>
    <t>Tanpa Gelar</t>
  </si>
  <si>
    <t>Kab. Bengkalis</t>
  </si>
  <si>
    <t>Automotive</t>
  </si>
  <si>
    <t>Kab. Deli Serdang</t>
  </si>
  <si>
    <t>Healthcare</t>
  </si>
  <si>
    <t>40-44</t>
  </si>
  <si>
    <t>Dokter</t>
  </si>
  <si>
    <t>Kab. Ketapang</t>
  </si>
  <si>
    <t>Kab. Simalungun</t>
  </si>
  <si>
    <t>Banking/Insurance/Financial/ BPR</t>
  </si>
  <si>
    <t>Kab. Asahan</t>
  </si>
  <si>
    <t>Distribution</t>
  </si>
  <si>
    <t>Lainnya</t>
  </si>
  <si>
    <t>Diploma 3</t>
  </si>
  <si>
    <t>Government</t>
  </si>
  <si>
    <t>Kab. Labuhan Batu</t>
  </si>
  <si>
    <t>Kota Tebing Tinggi</t>
  </si>
  <si>
    <t>Others</t>
  </si>
  <si>
    <t>Mobile Credit Seller</t>
  </si>
  <si>
    <t>B. Past Due Ringan</t>
  </si>
  <si>
    <t>Kol 2 - Dalam Perhatian Khusus</t>
  </si>
  <si>
    <t>Kota Medan</t>
  </si>
  <si>
    <t>Agriculture</t>
  </si>
  <si>
    <t>C. Restructured</t>
  </si>
  <si>
    <t>Restaurant</t>
  </si>
  <si>
    <t>Food and Beverage</t>
  </si>
  <si>
    <t>Consulting</t>
  </si>
  <si>
    <t>Kab. Kutai Timur</t>
  </si>
  <si>
    <t>Other Industries</t>
  </si>
  <si>
    <t>Wil. Kota Jakarta Utara</t>
  </si>
  <si>
    <t>Konsultan/Analis</t>
  </si>
  <si>
    <t>Wil. Kota Jakarta Barat</t>
  </si>
  <si>
    <t>Pulp and Paper</t>
  </si>
  <si>
    <t>Customer service</t>
  </si>
  <si>
    <t>Kota Pematang Siantar</t>
  </si>
  <si>
    <t>Kota Binjai</t>
  </si>
  <si>
    <t>Water</t>
  </si>
  <si>
    <t>Pengajar (Guru, Dosen)</t>
  </si>
  <si>
    <t>Wil. Kota Jakarta Timur</t>
  </si>
  <si>
    <t>Kab. Tapanuli Selatan</t>
  </si>
  <si>
    <t>Kab. Padang Pariaman</t>
  </si>
  <si>
    <t>Social Services</t>
  </si>
  <si>
    <t>Wil. Kota Jakarta Pusat</t>
  </si>
  <si>
    <t>Education</t>
  </si>
  <si>
    <t>Kab. Limapuluh Kota</t>
  </si>
  <si>
    <t>Tanpa Riwayat 6 Bln</t>
  </si>
  <si>
    <t>Tanpa Riwayat 12 Bln</t>
  </si>
  <si>
    <t>Kab. Solok Selatan</t>
  </si>
  <si>
    <t>Kab. Tangerang</t>
  </si>
  <si>
    <t>Motorcycle/Car Dealers</t>
  </si>
  <si>
    <t>Ibu Rumah Tangga</t>
  </si>
  <si>
    <t>Kota Padang</t>
  </si>
  <si>
    <t>Culinary</t>
  </si>
  <si>
    <t>Pelajar/Mahasiswa</t>
  </si>
  <si>
    <t>Kota Jambi</t>
  </si>
  <si>
    <t>Kab. Kampar</t>
  </si>
  <si>
    <t>Kota Pekanbaru</t>
  </si>
  <si>
    <t>Kota Batam</t>
  </si>
  <si>
    <t>Business Services</t>
  </si>
  <si>
    <t>50-54</t>
  </si>
  <si>
    <t>Polisi</t>
  </si>
  <si>
    <t>Construction</t>
  </si>
  <si>
    <t>Others - Other</t>
  </si>
  <si>
    <t>Kab. Kerinci</t>
  </si>
  <si>
    <t>Divorced</t>
  </si>
  <si>
    <t>Kab. Ogan Komering Ulu</t>
  </si>
  <si>
    <t>Gas Station</t>
  </si>
  <si>
    <t>Kab. Lampung Utara</t>
  </si>
  <si>
    <t>D. NPL / Delinquent</t>
  </si>
  <si>
    <t>Kota Palembang</t>
  </si>
  <si>
    <t>Art / Culture / Entertainment</t>
  </si>
  <si>
    <t>Beauty</t>
  </si>
  <si>
    <t>Kab. Lampung Selatan</t>
  </si>
  <si>
    <t>Kab. Lampung Tengah</t>
  </si>
  <si>
    <t>Plantation</t>
  </si>
  <si>
    <t>Kab. Pesawaran</t>
  </si>
  <si>
    <t>Gold / Precious Metals</t>
  </si>
  <si>
    <t>Kab. Way Kanan</t>
  </si>
  <si>
    <t>Kab. Pringsewu</t>
  </si>
  <si>
    <t>Lainnya Tidak terdefinisi</t>
  </si>
  <si>
    <t>Kota Bandar Lampung</t>
  </si>
  <si>
    <t>Kab. Belitung</t>
  </si>
  <si>
    <t>Gas</t>
  </si>
  <si>
    <t>Pekerja informal (asisten rumah tangga, asongan, dll)</t>
  </si>
  <si>
    <t>Telecommunication</t>
  </si>
  <si>
    <t>Kota Bekasi</t>
  </si>
  <si>
    <t>Mining</t>
  </si>
  <si>
    <t>55-59</t>
  </si>
  <si>
    <t>Kab. Bekasi</t>
  </si>
  <si>
    <t>Export-Import</t>
  </si>
  <si>
    <t>Eksekutif</t>
  </si>
  <si>
    <t>Kota Bandung</t>
  </si>
  <si>
    <t>Travel Agency</t>
  </si>
  <si>
    <t>Media</t>
  </si>
  <si>
    <t>Pertukangan dan pengrajin (tukang kayu, pengrajin kulit, dan lain-lain)</t>
  </si>
  <si>
    <t>Tobacco Processing Industry</t>
  </si>
  <si>
    <t>Property Agency</t>
  </si>
  <si>
    <t>Developer/Real Estate</t>
  </si>
  <si>
    <t>Pharmacy</t>
  </si>
  <si>
    <t>Logistics / Freight Forwarding</t>
  </si>
  <si>
    <t>Textile and Clothing</t>
  </si>
  <si>
    <t>Pensiunan</t>
  </si>
  <si>
    <t>Accounting Firm</t>
  </si>
  <si>
    <t>Hospitality / Tourism</t>
  </si>
  <si>
    <t>Diploma 1</t>
  </si>
  <si>
    <t>Printing / Publishing</t>
  </si>
  <si>
    <t>Kota Tangerang</t>
  </si>
  <si>
    <t>Accounting/Finance Officer</t>
  </si>
  <si>
    <t>Kota Tangerang Selatan</t>
  </si>
  <si>
    <t>Notary Office</t>
  </si>
  <si>
    <t>60-64</t>
  </si>
  <si>
    <t>Teknologi Informasi</t>
  </si>
  <si>
    <t>Lawyer Office</t>
  </si>
  <si>
    <t>Kota Depok</t>
  </si>
  <si>
    <t>Financial Consultant</t>
  </si>
  <si>
    <t>Kota Bogor</t>
  </si>
  <si>
    <t>Kab. Bogor</t>
  </si>
  <si>
    <t>Militer</t>
  </si>
  <si>
    <t>Kab. Indramayu</t>
  </si>
  <si>
    <t>Kab. Sukabumi</t>
  </si>
  <si>
    <t>Kab. Garut</t>
  </si>
  <si>
    <t>Kab. Tasikmalaya</t>
  </si>
  <si>
    <t>Kab. Kuningan</t>
  </si>
  <si>
    <t>Kab. Bandung Barat</t>
  </si>
  <si>
    <t>Buruh (Buruh Pabrik, Buruh Bangunan, Buruh Tani)</t>
  </si>
  <si>
    <t>Kab. Cirebon</t>
  </si>
  <si>
    <t>Kab. Majalengka</t>
  </si>
  <si>
    <t>Petani</t>
  </si>
  <si>
    <t>Kab. Sumedang</t>
  </si>
  <si>
    <t>Kab. Subang</t>
  </si>
  <si>
    <t>Kab. Karawang</t>
  </si>
  <si>
    <t>Electricity</t>
  </si>
  <si>
    <t>Kab. Brebes</t>
  </si>
  <si>
    <t>Animal Husbandry</t>
  </si>
  <si>
    <t>Diploma 2</t>
  </si>
  <si>
    <t>Savings &amp; Lending Cooperative &gt; Rp1 billion</t>
  </si>
  <si>
    <t>Kota Sukabumi</t>
  </si>
  <si>
    <t>Kab. Bandung</t>
  </si>
  <si>
    <t>Entertainment/Culture</t>
  </si>
  <si>
    <t>Foundation</t>
  </si>
  <si>
    <t>Kota Cirebon</t>
  </si>
  <si>
    <t>Kota Balikpapan</t>
  </si>
  <si>
    <t>Widow/Widower</t>
  </si>
  <si>
    <t>Kota Serang</t>
  </si>
  <si>
    <t>Kota Bima</t>
  </si>
  <si>
    <t>Tenaga Medis (Perawat, Bidan, dan sebagainya)</t>
  </si>
  <si>
    <t>Other</t>
  </si>
  <si>
    <t>Kab. Banyuwangi</t>
  </si>
  <si>
    <t>Kota Denpasar</t>
  </si>
  <si>
    <t>Pekerja seni (artis, musisi, pelukis, dan sebagainya)</t>
  </si>
  <si>
    <t>Kota Cimahi</t>
  </si>
  <si>
    <t>Kota Tasikmalaya</t>
  </si>
  <si>
    <t>Kota Semarang</t>
  </si>
  <si>
    <t>Engineering</t>
  </si>
  <si>
    <t>Kab. Cilacap</t>
  </si>
  <si>
    <t>Marketing</t>
  </si>
  <si>
    <t>Kab. Banyumas</t>
  </si>
  <si>
    <t>Kota Tegal</t>
  </si>
  <si>
    <t>Di Luar Indonesia</t>
  </si>
  <si>
    <t>Kab. Banjarnegara</t>
  </si>
  <si>
    <t>Kab. Kebumen</t>
  </si>
  <si>
    <t>Kab. Purworejo</t>
  </si>
  <si>
    <t>Chemical Industry</t>
  </si>
  <si>
    <t>Kab. Wonosobo</t>
  </si>
  <si>
    <t>Kab. Klaten</t>
  </si>
  <si>
    <t>Kab. Wonogiri</t>
  </si>
  <si>
    <t>Kab. Grobogan</t>
  </si>
  <si>
    <t>Kab. Blora</t>
  </si>
  <si>
    <t>Kab. Rembang</t>
  </si>
  <si>
    <t>Kab. Kendal</t>
  </si>
  <si>
    <t>Kab. Pekalongan</t>
  </si>
  <si>
    <t>Kab. Pemalang</t>
  </si>
  <si>
    <t>Kab. Tegal</t>
  </si>
  <si>
    <t>Kota Salatiga</t>
  </si>
  <si>
    <t>Kab. Semarang</t>
  </si>
  <si>
    <t>Kota Pekalongan</t>
  </si>
  <si>
    <t>Kab. Bantul</t>
  </si>
  <si>
    <t>Kota Yogyakarta</t>
  </si>
  <si>
    <t>Kab. Gunung Kidul</t>
  </si>
  <si>
    <t>Kab. Sleman</t>
  </si>
  <si>
    <t>Kota Cilegon</t>
  </si>
  <si>
    <t>Kab. Ponorogo</t>
  </si>
  <si>
    <t>Kab. Tulungagung</t>
  </si>
  <si>
    <t>Kab. Blitar</t>
  </si>
  <si>
    <t>Kab. Kediri</t>
  </si>
  <si>
    <t>Forestry / Wood Cutting</t>
  </si>
  <si>
    <t>Kota Surabaya</t>
  </si>
  <si>
    <t>Kab. Ogan Komering Ulu Timur</t>
  </si>
  <si>
    <t>Kab. Malang</t>
  </si>
  <si>
    <t>Kota Malang</t>
  </si>
  <si>
    <t>Kab. Lumajang</t>
  </si>
  <si>
    <t>Kab. Jember</t>
  </si>
  <si>
    <t>Kab. Situbondo</t>
  </si>
  <si>
    <t>Kab. Probolinggo</t>
  </si>
  <si>
    <t>Kab. Pasuruan</t>
  </si>
  <si>
    <t>Kab. Sidoarjo</t>
  </si>
  <si>
    <t>Hukum (Pengacara, Notaris)</t>
  </si>
  <si>
    <t>Kab. Mojokerto</t>
  </si>
  <si>
    <t>Kab. Madiun</t>
  </si>
  <si>
    <t>Kab. Gresik</t>
  </si>
  <si>
    <t>Kota Kediri</t>
  </si>
  <si>
    <t>Kota Blitar</t>
  </si>
  <si>
    <t>Kota Banjarbaru</t>
  </si>
  <si>
    <t>Kota Madiun</t>
  </si>
  <si>
    <t>Marine and Fishery</t>
  </si>
  <si>
    <t>Kota Mataram</t>
  </si>
  <si>
    <t>Minimarket / Supermarket</t>
  </si>
  <si>
    <t>Transportasi Udara (Pilot, Pramugari)</t>
  </si>
  <si>
    <t>Kab. Serang</t>
  </si>
  <si>
    <t>Wood Industry/Timber Goods</t>
  </si>
  <si>
    <t>Pejabat Negara/Penyelenggara Negara</t>
  </si>
  <si>
    <t>Kab. Badung</t>
  </si>
  <si>
    <t>Kab. Gianyar</t>
  </si>
  <si>
    <t>Kab. Buleleng</t>
  </si>
  <si>
    <t>Kab. Sumbawa</t>
  </si>
  <si>
    <t>Kab. Sanggau</t>
  </si>
  <si>
    <t>Kab. Kubu Raya</t>
  </si>
  <si>
    <t>Kota Pontianak</t>
  </si>
  <si>
    <t>Kota Palangkaraya</t>
  </si>
  <si>
    <t>Kab. Paser</t>
  </si>
  <si>
    <t>Kab. Tapin</t>
  </si>
  <si>
    <t>Kota Banjarmasin</t>
  </si>
  <si>
    <t>Kota Samarinda</t>
  </si>
  <si>
    <t>Kab. Penajam Paser Utara</t>
  </si>
  <si>
    <t>Kota Bontang</t>
  </si>
  <si>
    <t>Kab. Minahasa Utara</t>
  </si>
  <si>
    <t>Kota Manado</t>
  </si>
  <si>
    <t>Kab. Sidenreng Rappang</t>
  </si>
  <si>
    <t>Kota Makassar</t>
  </si>
  <si>
    <t>Kota Pare-Pare</t>
  </si>
  <si>
    <t>Kab. Buton</t>
  </si>
  <si>
    <t>Kota Ternate</t>
  </si>
  <si>
    <t>Kab. Maros</t>
  </si>
  <si>
    <t>Kab. Mimika</t>
  </si>
  <si>
    <t>report_month</t>
  </si>
  <si>
    <t>ym</t>
  </si>
  <si>
    <t>customer_reported</t>
  </si>
  <si>
    <t>facility_reported</t>
  </si>
  <si>
    <t>customer_npl</t>
  </si>
  <si>
    <t>facility_npl</t>
  </si>
  <si>
    <t>facility_npl_pct</t>
  </si>
  <si>
    <t>facility_dpk</t>
  </si>
  <si>
    <t>facility_dpk_pct</t>
  </si>
  <si>
    <t>avg_dpd_days</t>
  </si>
  <si>
    <t>2021-11-01</t>
  </si>
  <si>
    <t>2021-12-01</t>
  </si>
  <si>
    <t>2022-01-01</t>
  </si>
  <si>
    <t>2022-02-01</t>
  </si>
  <si>
    <t>2022-03-01</t>
  </si>
  <si>
    <t>2022-04-01</t>
  </si>
  <si>
    <t>2022-05-01</t>
  </si>
  <si>
    <t>2022-06-01</t>
  </si>
  <si>
    <t>2022-07-01</t>
  </si>
  <si>
    <t>2022-08-01</t>
  </si>
  <si>
    <t>2022-09-01</t>
  </si>
  <si>
    <t>2022-10-01</t>
  </si>
  <si>
    <t>2022-11-01</t>
  </si>
  <si>
    <t>2022-12-01</t>
  </si>
  <si>
    <t>2023-01-01</t>
  </si>
  <si>
    <t>2023-02-01</t>
  </si>
  <si>
    <t>2023-03-01</t>
  </si>
  <si>
    <t>2023-04-01</t>
  </si>
  <si>
    <t>2023-05-01</t>
  </si>
  <si>
    <t>2023-06-01</t>
  </si>
  <si>
    <t>2023-07-01</t>
  </si>
  <si>
    <t>2023-08-01</t>
  </si>
  <si>
    <t>2023-09-01</t>
  </si>
  <si>
    <t>2023-10-01</t>
  </si>
</sst>
</file>

<file path=xl/styles.xml><?xml version="1.0" encoding="utf-8"?>
<styleSheet xmlns="http://schemas.openxmlformats.org/spreadsheetml/2006/main">
  <numFmts count="7">
    <numFmt numFmtId="164" formatCode="#,##0"/>
    <numFmt numFmtId="165" formatCode="0%"/>
    <numFmt numFmtId="166" formatCode="0.0%"/>
    <numFmt numFmtId="167" formatCode="&quot;Rp &quot;#,##0.0,,&quot; jt&quot;"/>
    <numFmt numFmtId="168" formatCode="0.00"/>
    <numFmt numFmtId="169" formatCode="+0.0&quot; pp&quot;;-0.0&quot; pp&quot;;0.0&quot; pp&quot;"/>
    <numFmt numFmtId="170" formatCode="0.0&quot; hari&quot;"/>
  </numFmts>
  <fonts count="29">
    <font>
      <sz val="11"/>
      <color theme="1"/>
      <name val="Calibri"/>
      <family val="2"/>
      <scheme val="minor"/>
    </font>
    <font>
      <sz val="10"/>
      <color rgb="FF111111"/>
      <name val="Arial"/>
      <family val="2"/>
    </font>
    <font>
      <b/>
      <sz val="17"/>
      <color rgb="FF111111"/>
      <name val="Arial"/>
      <family val="2"/>
    </font>
    <font>
      <sz val="9"/>
      <color rgb="FF6E7781"/>
      <name val="Arial"/>
      <family val="2"/>
    </font>
    <font>
      <b/>
      <sz val="8"/>
      <color rgb="FFFDAF27"/>
      <name val="Arial"/>
      <family val="2"/>
    </font>
    <font>
      <b/>
      <sz val="13"/>
      <color rgb="FF111111"/>
      <name val="Arial"/>
      <family val="2"/>
    </font>
    <font>
      <sz val="9.5"/>
      <color rgb="FF6E7781"/>
      <name val="Arial"/>
      <family val="2"/>
    </font>
    <font>
      <sz val="8"/>
      <color rgb="FF6E7781"/>
      <name val="Arial"/>
      <family val="2"/>
    </font>
    <font>
      <b/>
      <sz val="20"/>
      <color rgb="FF111111"/>
      <name val="Arial"/>
      <family val="2"/>
    </font>
    <font>
      <b/>
      <sz val="20"/>
      <color rgb="FF722B79"/>
      <name val="Arial"/>
      <family val="2"/>
    </font>
    <font>
      <b/>
      <sz val="9"/>
      <color rgb="FF111111"/>
      <name val="Arial"/>
      <family val="2"/>
    </font>
    <font>
      <sz val="8.5"/>
      <color rgb="FF111111"/>
      <name val="Arial"/>
      <family val="2"/>
    </font>
    <font>
      <sz val="7.5"/>
      <color rgb="FF6E7781"/>
      <name val="Arial"/>
      <family val="2"/>
    </font>
    <font>
      <b/>
      <sz val="8.5"/>
      <color rgb="FFFFFFFF"/>
      <name val="Arial"/>
      <family val="2"/>
    </font>
    <font>
      <sz val="9"/>
      <color rgb="FF111111"/>
      <name val="Arial"/>
      <family val="2"/>
    </font>
    <font>
      <b/>
      <sz val="9"/>
      <color rgb="FF722B79"/>
      <name val="Arial"/>
      <family val="2"/>
    </font>
    <font>
      <sz val="9"/>
      <color rgb="FF111111"/>
      <name val="Arial"/>
      <family val="2"/>
    </font>
    <font>
      <sz val="8.5"/>
      <color rgb="FF6E7781"/>
      <name val="Arial"/>
      <family val="2"/>
    </font>
    <font>
      <b/>
      <sz val="8.5"/>
      <color rgb="FF722B79"/>
      <name val="Arial"/>
      <family val="2"/>
    </font>
    <font>
      <b/>
      <sz val="8.5"/>
      <color rgb="FF6E7781"/>
      <name val="Arial"/>
      <family val="2"/>
    </font>
    <font>
      <sz val="8.5"/>
      <color rgb="FF722B79"/>
      <name val="Arial"/>
      <family val="2"/>
    </font>
    <font>
      <b/>
      <sz val="8"/>
      <color rgb="FF6E7781"/>
      <name val="Arial"/>
      <family val="2"/>
    </font>
    <font>
      <b/>
      <sz val="10"/>
      <color rgb="FF111111"/>
      <name val="Arial"/>
      <family val="2"/>
    </font>
    <font>
      <b/>
      <sz val="11"/>
      <color rgb="FF111111"/>
      <name val="Arial"/>
      <family val="2"/>
    </font>
    <font>
      <b/>
      <sz val="11"/>
      <color rgb="FF722B79"/>
      <name val="Arial"/>
      <family val="2"/>
    </font>
    <font>
      <b/>
      <sz val="8.5"/>
      <color rgb="FFFDAF27"/>
      <name val="Arial"/>
      <family val="2"/>
    </font>
    <font>
      <b/>
      <sz val="8.5"/>
      <color rgb="FF111111"/>
      <name val="Arial"/>
      <family val="2"/>
    </font>
    <font>
      <b/>
      <sz val="8"/>
      <color rgb="FFFFFFFF"/>
      <name val="Arial"/>
      <family val="2"/>
    </font>
    <font>
      <sz val="8"/>
      <color indexed="81"/>
      <name val="Tahoma"/>
      <family val="2"/>
    </font>
  </fonts>
  <fills count="9">
    <fill>
      <patternFill patternType="none"/>
    </fill>
    <fill>
      <patternFill patternType="gray125"/>
    </fill>
    <fill>
      <patternFill patternType="solid">
        <fgColor rgb="FFF5F6F7"/>
        <bgColor indexed="64"/>
      </patternFill>
    </fill>
    <fill>
      <patternFill patternType="solid">
        <fgColor rgb="FFFFFFFF"/>
        <bgColor indexed="64"/>
      </patternFill>
    </fill>
    <fill>
      <patternFill patternType="solid">
        <fgColor rgb="FFFDAF27"/>
        <bgColor indexed="64"/>
      </patternFill>
    </fill>
    <fill>
      <patternFill patternType="solid">
        <fgColor rgb="FF111111"/>
        <bgColor indexed="64"/>
      </patternFill>
    </fill>
    <fill>
      <patternFill patternType="solid">
        <fgColor rgb="FFEFE3F0"/>
        <bgColor indexed="64"/>
      </patternFill>
    </fill>
    <fill>
      <patternFill patternType="solid">
        <fgColor rgb="FFFFF1D0"/>
        <bgColor indexed="64"/>
      </patternFill>
    </fill>
    <fill>
      <patternFill patternType="solid">
        <fgColor rgb="FF6E7781"/>
        <bgColor indexed="64"/>
      </patternFill>
    </fill>
  </fills>
  <borders count="9">
    <border>
      <left/>
      <right/>
      <top/>
      <bottom/>
      <diagonal/>
    </border>
    <border>
      <left style="thin">
        <color rgb="FFE4E7EA"/>
      </left>
      <right style="thin">
        <color rgb="FFE4E7EA"/>
      </right>
      <top style="thin">
        <color rgb="FFE4E7EA"/>
      </top>
      <bottom/>
      <diagonal/>
    </border>
    <border>
      <left style="thin">
        <color rgb="FFE4E7EA"/>
      </left>
      <right style="thin">
        <color rgb="FFE4E7EA"/>
      </right>
      <top/>
      <bottom/>
      <diagonal/>
    </border>
    <border>
      <left style="thin">
        <color rgb="FFE4E7EA"/>
      </left>
      <right style="thin">
        <color rgb="FFE4E7EA"/>
      </right>
      <top/>
      <bottom style="thin">
        <color rgb="FFE4E7EA"/>
      </bottom>
      <diagonal/>
    </border>
    <border>
      <left style="thin">
        <color rgb="FFE4E7EA"/>
      </left>
      <right style="thin">
        <color rgb="FFE4E7EA"/>
      </right>
      <top style="thin">
        <color rgb="FFE4E7EA"/>
      </top>
      <bottom style="thin">
        <color rgb="FFE4E7EA"/>
      </bottom>
      <diagonal/>
    </border>
    <border>
      <left style="thin">
        <color rgb="FF111111"/>
      </left>
      <right style="thin">
        <color rgb="FF111111"/>
      </right>
      <top style="thin">
        <color rgb="FF111111"/>
      </top>
      <bottom style="thin">
        <color rgb="FF111111"/>
      </bottom>
      <diagonal/>
    </border>
    <border>
      <left style="thin">
        <color rgb="FF722B79"/>
      </left>
      <right style="thin">
        <color rgb="FF722B79"/>
      </right>
      <top style="thin">
        <color rgb="FF722B79"/>
      </top>
      <bottom style="thin">
        <color rgb="FF722B79"/>
      </bottom>
      <diagonal/>
    </border>
    <border>
      <left style="thin">
        <color rgb="FFFDAF27"/>
      </left>
      <right style="thin">
        <color rgb="FFFDAF27"/>
      </right>
      <top style="thin">
        <color rgb="FFFDAF27"/>
      </top>
      <bottom style="thin">
        <color rgb="FFFDAF27"/>
      </bottom>
      <diagonal/>
    </border>
    <border>
      <left style="thin">
        <color rgb="FF6E7781"/>
      </left>
      <right style="thin">
        <color rgb="FF6E7781"/>
      </right>
      <top style="thin">
        <color rgb="FF6E7781"/>
      </top>
      <bottom style="thin">
        <color rgb="FF6E7781"/>
      </bottom>
      <diagonal/>
    </border>
  </borders>
  <cellStyleXfs count="1">
    <xf numFmtId="0" fontId="0" fillId="0" borderId="0"/>
  </cellStyleXfs>
  <cellXfs count="58">
    <xf numFmtId="0" fontId="0" fillId="0" borderId="0" xfId="0"/>
    <xf numFmtId="0" fontId="1" fillId="2" borderId="0" xfId="0" applyFont="1" applyFill="1"/>
    <xf numFmtId="0" fontId="1" fillId="3" borderId="0" xfId="0" applyFont="1" applyFill="1"/>
    <xf numFmtId="0" fontId="2" fillId="3" borderId="0" xfId="0" applyFont="1" applyFill="1" applyAlignment="1">
      <alignment horizontal="left" vertical="center" indent="1"/>
    </xf>
    <xf numFmtId="0" fontId="3" fillId="3" borderId="0" xfId="0" applyFont="1" applyFill="1" applyAlignment="1">
      <alignment horizontal="left" vertical="center" indent="1"/>
    </xf>
    <xf numFmtId="0" fontId="1" fillId="4" borderId="0" xfId="0" applyFont="1" applyFill="1"/>
    <xf numFmtId="0" fontId="4" fillId="2" borderId="0" xfId="0" applyFont="1" applyFill="1" applyAlignment="1"/>
    <xf numFmtId="0" fontId="5" fillId="2" borderId="0" xfId="0" applyFont="1" applyFill="1" applyAlignment="1">
      <alignment vertical="center" wrapText="1"/>
    </xf>
    <xf numFmtId="0" fontId="6" fillId="2" borderId="0" xfId="0" applyFont="1" applyFill="1" applyAlignment="1">
      <alignment vertical="top" wrapText="1"/>
    </xf>
    <xf numFmtId="0" fontId="7" fillId="3" borderId="1" xfId="0" applyFont="1" applyFill="1" applyBorder="1" applyAlignment="1">
      <alignment indent="1"/>
    </xf>
    <xf numFmtId="164" fontId="8" fillId="3" borderId="2" xfId="0" applyNumberFormat="1" applyFont="1" applyFill="1" applyBorder="1" applyAlignment="1">
      <alignment horizontal="left" vertical="center" indent="1"/>
    </xf>
    <xf numFmtId="164" fontId="9" fillId="3" borderId="2" xfId="0" applyNumberFormat="1" applyFont="1" applyFill="1" applyBorder="1" applyAlignment="1">
      <alignment horizontal="left" vertical="center" indent="1"/>
    </xf>
    <xf numFmtId="165" fontId="8" fillId="3" borderId="2" xfId="0" applyNumberFormat="1" applyFont="1" applyFill="1" applyBorder="1" applyAlignment="1">
      <alignment horizontal="left" vertical="center" indent="1"/>
    </xf>
    <xf numFmtId="0" fontId="7" fillId="3" borderId="3" xfId="0" applyFont="1" applyFill="1" applyBorder="1" applyAlignment="1">
      <alignment vertical="top" indent="1" wrapText="1"/>
    </xf>
    <xf numFmtId="0" fontId="10" fillId="2" borderId="0" xfId="0" applyFont="1" applyFill="1" applyAlignment="1"/>
    <xf numFmtId="0" fontId="7" fillId="2" borderId="0" xfId="0" applyFont="1" applyFill="1" applyAlignment="1">
      <alignment vertical="top" wrapText="1"/>
    </xf>
    <xf numFmtId="0" fontId="10" fillId="3" borderId="4" xfId="0" applyFont="1" applyFill="1" applyBorder="1" applyAlignment="1">
      <alignment horizontal="left" vertical="center" indent="1"/>
    </xf>
    <xf numFmtId="0" fontId="11" fillId="3" borderId="4" xfId="0" applyFont="1" applyFill="1" applyBorder="1" applyAlignment="1">
      <alignment horizontal="left" vertical="top" indent="1" wrapText="1"/>
    </xf>
    <xf numFmtId="0" fontId="12" fillId="2" borderId="0" xfId="0" applyFont="1" applyFill="1" applyAlignment="1">
      <alignment vertical="top" wrapText="1"/>
    </xf>
    <xf numFmtId="0" fontId="13" fillId="5" borderId="5" xfId="0" applyFont="1" applyFill="1" applyBorder="1" applyAlignment="1">
      <alignment horizontal="left" vertical="center" indent="1" wrapText="1"/>
    </xf>
    <xf numFmtId="0" fontId="13" fillId="5" borderId="5" xfId="0" applyFont="1" applyFill="1" applyBorder="1" applyAlignment="1">
      <alignment horizontal="center" vertical="center" wrapText="1"/>
    </xf>
    <xf numFmtId="0" fontId="14" fillId="3" borderId="4" xfId="0" applyFont="1" applyFill="1" applyBorder="1" applyAlignment="1">
      <alignment horizontal="left" vertical="center" indent="1"/>
    </xf>
    <xf numFmtId="164" fontId="14" fillId="3" borderId="4" xfId="0" applyNumberFormat="1" applyFont="1" applyFill="1" applyBorder="1" applyAlignment="1">
      <alignment horizontal="center" vertical="center"/>
    </xf>
    <xf numFmtId="166" fontId="15" fillId="6" borderId="6" xfId="0" applyNumberFormat="1" applyFont="1" applyFill="1" applyBorder="1" applyAlignment="1">
      <alignment horizontal="center" vertical="center"/>
    </xf>
    <xf numFmtId="0" fontId="10" fillId="7" borderId="7" xfId="0" applyFont="1" applyFill="1" applyBorder="1" applyAlignment="1">
      <alignment horizontal="left" vertical="center" indent="1"/>
    </xf>
    <xf numFmtId="0" fontId="10" fillId="3" borderId="4" xfId="0" applyFont="1" applyFill="1" applyBorder="1" applyAlignment="1">
      <alignment horizontal="left" vertical="center" indent="1"/>
    </xf>
    <xf numFmtId="164" fontId="10" fillId="7" borderId="7" xfId="0" applyNumberFormat="1" applyFont="1" applyFill="1" applyBorder="1" applyAlignment="1">
      <alignment horizontal="center" vertical="center"/>
    </xf>
    <xf numFmtId="166" fontId="10" fillId="7" borderId="7" xfId="0" applyNumberFormat="1" applyFont="1" applyFill="1" applyBorder="1" applyAlignment="1">
      <alignment horizontal="center" vertical="center"/>
    </xf>
    <xf numFmtId="0" fontId="11" fillId="7" borderId="7" xfId="0" applyFont="1" applyFill="1" applyBorder="1" applyAlignment="1">
      <alignment vertical="top" indent="1" wrapText="1"/>
    </xf>
    <xf numFmtId="167" fontId="14" fillId="3" borderId="4" xfId="0" applyNumberFormat="1" applyFont="1" applyFill="1" applyBorder="1" applyAlignment="1">
      <alignment horizontal="right" vertical="center" indent="1"/>
    </xf>
    <xf numFmtId="166" fontId="14" fillId="3" borderId="4" xfId="0" applyNumberFormat="1" applyFont="1" applyFill="1" applyBorder="1" applyAlignment="1">
      <alignment horizontal="center" vertical="center"/>
    </xf>
    <xf numFmtId="168" fontId="16" fillId="3" borderId="4" xfId="0" applyNumberFormat="1" applyFont="1" applyFill="1" applyBorder="1" applyAlignment="1">
      <alignment horizontal="center" vertical="center"/>
    </xf>
    <xf numFmtId="0" fontId="17" fillId="3" borderId="4" xfId="0" applyFont="1" applyFill="1" applyBorder="1" applyAlignment="1">
      <alignment horizontal="center" vertical="center"/>
    </xf>
    <xf numFmtId="168" fontId="10" fillId="7" borderId="7" xfId="0" applyNumberFormat="1" applyFont="1" applyFill="1" applyBorder="1" applyAlignment="1">
      <alignment horizontal="center" vertical="center"/>
    </xf>
    <xf numFmtId="0" fontId="18" fillId="7" borderId="7" xfId="0" applyFont="1" applyFill="1" applyBorder="1" applyAlignment="1">
      <alignment horizontal="center" vertical="center"/>
    </xf>
    <xf numFmtId="0" fontId="19" fillId="7" borderId="7" xfId="0" applyFont="1" applyFill="1" applyBorder="1" applyAlignment="1">
      <alignment horizontal="center" vertical="center"/>
    </xf>
    <xf numFmtId="0" fontId="20" fillId="3" borderId="4" xfId="0" applyFont="1" applyFill="1" applyBorder="1" applyAlignment="1">
      <alignment horizontal="center" vertical="center"/>
    </xf>
    <xf numFmtId="0" fontId="21" fillId="2" borderId="0" xfId="0" applyFont="1" applyFill="1" applyAlignment="1">
      <alignment horizontal="right" vertical="center"/>
    </xf>
    <xf numFmtId="0" fontId="22" fillId="7" borderId="7" xfId="0" applyFont="1" applyFill="1" applyBorder="1" applyAlignment="1">
      <alignment horizontal="center" vertical="center"/>
    </xf>
    <xf numFmtId="0" fontId="7" fillId="2" borderId="0" xfId="0" applyFont="1" applyFill="1" applyAlignment="1">
      <alignment horizontal="left" vertical="center" indent="1" wrapText="1"/>
    </xf>
    <xf numFmtId="164" fontId="23" fillId="3" borderId="4" xfId="0" applyNumberFormat="1" applyFont="1" applyFill="1" applyBorder="1" applyAlignment="1">
      <alignment horizontal="center" vertical="center"/>
    </xf>
    <xf numFmtId="166" fontId="23" fillId="3" borderId="4" xfId="0" applyNumberFormat="1" applyFont="1" applyFill="1" applyBorder="1" applyAlignment="1">
      <alignment horizontal="center" vertical="center"/>
    </xf>
    <xf numFmtId="169" fontId="24" fillId="7" borderId="7" xfId="0" applyNumberFormat="1" applyFont="1" applyFill="1" applyBorder="1" applyAlignment="1">
      <alignment horizontal="center" vertical="center"/>
    </xf>
    <xf numFmtId="170" fontId="23" fillId="3" borderId="4" xfId="0" applyNumberFormat="1" applyFont="1" applyFill="1" applyBorder="1" applyAlignment="1">
      <alignment horizontal="center" vertical="center"/>
    </xf>
    <xf numFmtId="0" fontId="24" fillId="7" borderId="7" xfId="0" applyFont="1" applyFill="1" applyBorder="1" applyAlignment="1">
      <alignment horizontal="center" vertical="center"/>
    </xf>
    <xf numFmtId="0" fontId="7" fillId="3" borderId="4" xfId="0" applyFont="1" applyFill="1" applyBorder="1" applyAlignment="1">
      <alignment horizontal="left" vertical="center" indent="1" wrapText="1"/>
    </xf>
    <xf numFmtId="0" fontId="21" fillId="2" borderId="0" xfId="0" applyFont="1" applyFill="1" applyAlignment="1">
      <alignment indent="1"/>
    </xf>
    <xf numFmtId="166" fontId="8" fillId="3" borderId="2" xfId="0" applyNumberFormat="1" applyFont="1" applyFill="1" applyBorder="1" applyAlignment="1">
      <alignment horizontal="left" vertical="center" indent="1"/>
    </xf>
    <xf numFmtId="0" fontId="25" fillId="5" borderId="0" xfId="0" applyFont="1" applyFill="1" applyAlignment="1">
      <alignment horizontal="left" vertical="center" indent="1"/>
    </xf>
    <xf numFmtId="0" fontId="7" fillId="3" borderId="4" xfId="0" applyFont="1" applyFill="1" applyBorder="1" applyAlignment="1">
      <alignment horizontal="left" vertical="top" indent="1" wrapText="1"/>
    </xf>
    <xf numFmtId="0" fontId="10" fillId="3" borderId="4" xfId="0" applyFont="1" applyFill="1" applyBorder="1" applyAlignment="1">
      <alignment horizontal="left" vertical="top" indent="1" wrapText="1"/>
    </xf>
    <xf numFmtId="0" fontId="7" fillId="3" borderId="4" xfId="0" applyFont="1" applyFill="1" applyBorder="1" applyAlignment="1">
      <alignment horizontal="center" vertical="top"/>
    </xf>
    <xf numFmtId="0" fontId="13" fillId="8" borderId="8" xfId="0" applyFont="1" applyFill="1" applyBorder="1" applyAlignment="1">
      <alignment horizontal="left" vertical="center" indent="1" wrapText="1"/>
    </xf>
    <xf numFmtId="0" fontId="26" fillId="3" borderId="4" xfId="0" applyFont="1" applyFill="1" applyBorder="1" applyAlignment="1">
      <alignment horizontal="left" vertical="top" indent="1" wrapText="1"/>
    </xf>
    <xf numFmtId="0" fontId="11" fillId="7" borderId="7" xfId="0" applyFont="1" applyFill="1" applyBorder="1" applyAlignment="1">
      <alignment horizontal="left" vertical="top" indent="1" wrapText="1"/>
    </xf>
    <xf numFmtId="0" fontId="14" fillId="0" borderId="4" xfId="0" applyFont="1" applyBorder="1" applyAlignment="1">
      <alignment horizontal="left"/>
    </xf>
    <xf numFmtId="164" fontId="14" fillId="0" borderId="4" xfId="0" applyNumberFormat="1" applyFont="1" applyBorder="1" applyAlignment="1">
      <alignment horizontal="right"/>
    </xf>
    <xf numFmtId="0" fontId="27" fillId="5" borderId="8"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 pemohon lolos</c:v>
          </c:tx>
          <c:spPr>
            <a:solidFill>
              <a:srgbClr val="C7CCD1"/>
            </a:solidFill>
            <a:ln>
              <a:noFill/>
            </a:ln>
          </c:spPr>
          <c:dPt>
            <c:idx val="0"/>
          </c:dPt>
          <c:dPt>
            <c:idx val="1"/>
          </c:dPt>
          <c:dPt>
            <c:idx val="2"/>
            <c:spPr>
              <a:solidFill>
                <a:srgbClr val="FDAF27"/>
              </a:solidFill>
            </c:spPr>
          </c:dPt>
          <c:dPt>
            <c:idx val="3"/>
          </c:dPt>
          <c:dPt>
            <c:idx val="4"/>
          </c:dPt>
          <c:dLbls>
            <c:numFmt formatCode="0%" sourceLinked="0"/>
            <c:txPr>
              <a:bodyPr/>
              <a:lstStyle/>
              <a:p>
                <a:pPr>
                  <a:defRPr sz="800" b="1" baseline="0">
                    <a:solidFill>
                      <a:srgbClr val="111111"/>
                    </a:solidFill>
                    <a:latin typeface="Arial"/>
                  </a:defRPr>
                </a:pPr>
                <a:endParaRPr lang="en-US"/>
              </a:p>
            </c:txPr>
            <c:showVal val="1"/>
          </c:dLbls>
          <c:cat>
            <c:strRef>
              <c:f>_src!$A$4:$A$8</c:f>
              <c:strCache>
                <c:ptCount val="5"/>
                <c:pt idx="0">
                  <c:v>S0 Tanpa filter</c:v>
                </c:pt>
                <c:pt idx="1">
                  <c:v>S1 Others (kini)</c:v>
                </c:pt>
                <c:pt idx="2">
                  <c:v>S2 + Kol 12bln &lt;= 2</c:v>
                </c:pt>
                <c:pt idx="3">
                  <c:v>S3 + DPD 3bln = 0</c:v>
                </c:pt>
                <c:pt idx="4">
                  <c:v>S4 + Kol 12bln = 1</c:v>
                </c:pt>
              </c:strCache>
            </c:strRef>
          </c:cat>
          <c:val>
            <c:numRef>
              <c:f>_src!$B$4:$B$8</c:f>
              <c:numCache>
                <c:formatCode>General</c:formatCode>
                <c:ptCount val="5"/>
                <c:pt idx="0">
                  <c:v>1</c:v>
                </c:pt>
                <c:pt idx="1">
                  <c:v>0.869</c:v>
                </c:pt>
                <c:pt idx="2">
                  <c:v>0.835</c:v>
                </c:pt>
                <c:pt idx="3">
                  <c:v>0.782</c:v>
                </c:pt>
                <c:pt idx="4">
                  <c:v>0.729</c:v>
                </c:pt>
              </c:numCache>
            </c:numRef>
          </c:val>
        </c:ser>
        <c:gapWidth val="45"/>
        <c:axId val="50010001"/>
        <c:axId val="50010002"/>
      </c:barChart>
      <c:lineChart>
        <c:grouping val="standard"/>
        <c:ser>
          <c:idx val="1"/>
          <c:order val="1"/>
          <c:tx>
            <c:v>% NPL aktif yang lolos</c:v>
          </c:tx>
          <c:spPr>
            <a:ln w="25400">
              <a:solidFill>
                <a:srgbClr val="722B79"/>
              </a:solidFill>
            </a:ln>
          </c:spPr>
          <c:marker>
            <c:symbol val="circle"/>
            <c:size val="6"/>
            <c:spPr>
              <a:solidFill>
                <a:srgbClr val="722B79"/>
              </a:solidFill>
              <a:ln>
                <a:solidFill>
                  <a:srgbClr val="722B79"/>
                </a:solidFill>
              </a:ln>
            </c:spPr>
          </c:marker>
          <c:dLbls>
            <c:numFmt formatCode="0.0%" sourceLinked="0"/>
            <c:txPr>
              <a:bodyPr/>
              <a:lstStyle/>
              <a:p>
                <a:pPr>
                  <a:defRPr sz="800" b="1" baseline="0">
                    <a:solidFill>
                      <a:srgbClr val="722B79"/>
                    </a:solidFill>
                    <a:latin typeface="Arial"/>
                  </a:defRPr>
                </a:pPr>
                <a:endParaRPr lang="en-US"/>
              </a:p>
            </c:txPr>
            <c:dLblPos val="t"/>
            <c:showVal val="1"/>
          </c:dLbls>
          <c:cat>
            <c:strRef>
              <c:f>_src!$A$4:$A$8</c:f>
              <c:strCache>
                <c:ptCount val="5"/>
                <c:pt idx="0">
                  <c:v>S0 Tanpa filter</c:v>
                </c:pt>
                <c:pt idx="1">
                  <c:v>S1 Others (kini)</c:v>
                </c:pt>
                <c:pt idx="2">
                  <c:v>S2 + Kol 12bln &lt;= 2</c:v>
                </c:pt>
                <c:pt idx="3">
                  <c:v>S3 + DPD 3bln = 0</c:v>
                </c:pt>
                <c:pt idx="4">
                  <c:v>S4 + Kol 12bln = 1</c:v>
                </c:pt>
              </c:strCache>
            </c:strRef>
          </c:cat>
          <c:val>
            <c:numRef>
              <c:f>_src!$C$4:$C$8</c:f>
              <c:numCache>
                <c:formatCode>General</c:formatCode>
                <c:ptCount val="5"/>
                <c:pt idx="0">
                  <c:v>0.0341</c:v>
                </c:pt>
                <c:pt idx="1">
                  <c:v>0.0157</c:v>
                </c:pt>
                <c:pt idx="2">
                  <c:v>0</c:v>
                </c:pt>
                <c:pt idx="3">
                  <c:v>0</c:v>
                </c:pt>
                <c:pt idx="4">
                  <c:v>0</c:v>
                </c:pt>
              </c:numCache>
            </c:numRef>
          </c:val>
        </c:ser>
        <c:marker val="1"/>
        <c:axId val="60010001"/>
        <c:axId val="60010002"/>
      </c:lineChart>
      <c:catAx>
        <c:axId val="50010001"/>
        <c:scaling>
          <c:orientation val="minMax"/>
        </c:scaling>
        <c:axPos val="b"/>
        <c:majorTickMark val="none"/>
        <c:tickLblPos val="nextTo"/>
        <c:spPr>
          <a:ln>
            <a:solidFill>
              <a:srgbClr val="E4E7EA"/>
            </a:solidFill>
          </a:ln>
        </c:spPr>
        <c:txPr>
          <a:bodyPr/>
          <a:lstStyle/>
          <a:p>
            <a:pPr>
              <a:defRPr sz="800" baseline="0">
                <a:solidFill>
                  <a:srgbClr val="6E7781"/>
                </a:solidFill>
                <a:latin typeface="Arial"/>
              </a:defRPr>
            </a:pPr>
            <a:endParaRPr lang="en-US"/>
          </a:p>
        </c:txPr>
        <c:crossAx val="50010002"/>
        <c:crosses val="autoZero"/>
        <c:auto val="1"/>
        <c:lblAlgn val="ctr"/>
        <c:lblOffset val="100"/>
      </c:catAx>
      <c:valAx>
        <c:axId val="50010002"/>
        <c:scaling>
          <c:orientation val="minMax"/>
          <c:max val="1.15"/>
          <c:min val="0"/>
        </c:scaling>
        <c:delete val="1"/>
        <c:axPos val="l"/>
        <c:numFmt formatCode="0%" sourceLinked="0"/>
        <c:majorTickMark val="none"/>
        <c:tickLblPos val="nextTo"/>
        <c:spPr>
          <a:ln>
            <a:noFill/>
          </a:ln>
        </c:spPr>
        <c:txPr>
          <a:bodyPr/>
          <a:lstStyle/>
          <a:p>
            <a:pPr>
              <a:defRPr sz="800" baseline="0">
                <a:solidFill>
                  <a:srgbClr val="6E7781"/>
                </a:solidFill>
                <a:latin typeface="Arial"/>
              </a:defRPr>
            </a:pPr>
            <a:endParaRPr lang="en-US"/>
          </a:p>
        </c:txPr>
        <c:crossAx val="50010001"/>
        <c:crosses val="autoZero"/>
        <c:crossBetween val="between"/>
      </c:valAx>
      <c:valAx>
        <c:axId val="60010002"/>
        <c:scaling>
          <c:orientation val="minMax"/>
          <c:max val="0.05"/>
          <c:min val="0"/>
        </c:scaling>
        <c:delete val="1"/>
        <c:axPos val="r"/>
        <c:numFmt formatCode="General" sourceLinked="1"/>
        <c:tickLblPos val="nextTo"/>
        <c:crossAx val="60010001"/>
        <c:crosses val="max"/>
        <c:crossBetween val="between"/>
      </c:valAx>
      <c:catAx>
        <c:axId val="60010001"/>
        <c:scaling>
          <c:orientation val="minMax"/>
        </c:scaling>
        <c:delete val="1"/>
        <c:axPos val="b"/>
        <c:tickLblPos val="none"/>
        <c:crossAx val="60010002"/>
        <c:crosses val="autoZero"/>
        <c:auto val="1"/>
        <c:lblAlgn val="ctr"/>
        <c:lblOffset val="100"/>
      </c:catAx>
      <c:spPr>
        <a:noFill/>
        <a:ln>
          <a:noFill/>
        </a:ln>
      </c:spPr>
    </c:plotArea>
    <c:legend>
      <c:legendPos val="b"/>
      <c:layout/>
      <c:txPr>
        <a:bodyPr/>
        <a:lstStyle/>
        <a:p>
          <a:pPr>
            <a:defRPr sz="800" baseline="0">
              <a:solidFill>
                <a:srgbClr val="6E7781"/>
              </a:solidFill>
              <a:latin typeface="Arial"/>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 pemohon Kol 3-5</c:v>
          </c:tx>
          <c:spPr>
            <a:ln w="25400">
              <a:solidFill>
                <a:srgbClr val="722B79"/>
              </a:solidFill>
            </a:ln>
          </c:spPr>
          <c:marker>
            <c:symbol val="none"/>
          </c:marker>
          <c:trendline>
            <c:spPr>
              <a:ln w="19050">
                <a:solidFill>
                  <a:srgbClr val="FDAF27"/>
                </a:solidFill>
                <a:prstDash val="dash"/>
              </a:ln>
            </c:spPr>
            <c:trendlineType val="linear"/>
          </c:trendline>
          <c:cat>
            <c:strRef>
              <c:f>_src!$A$13:$A$36</c:f>
              <c:strCache>
                <c:ptCount val="24"/>
                <c:pt idx="0">
                  <c:v> </c:v>
                </c:pt>
                <c:pt idx="1">
                  <c:v> </c:v>
                </c:pt>
                <c:pt idx="2">
                  <c:v>Jan-22</c:v>
                </c:pt>
                <c:pt idx="3">
                  <c:v> </c:v>
                </c:pt>
                <c:pt idx="4">
                  <c:v> </c:v>
                </c:pt>
                <c:pt idx="5">
                  <c:v>Apr-22</c:v>
                </c:pt>
                <c:pt idx="6">
                  <c:v> </c:v>
                </c:pt>
                <c:pt idx="7">
                  <c:v> </c:v>
                </c:pt>
                <c:pt idx="8">
                  <c:v>Jul-22</c:v>
                </c:pt>
                <c:pt idx="9">
                  <c:v> </c:v>
                </c:pt>
                <c:pt idx="10">
                  <c:v> </c:v>
                </c:pt>
                <c:pt idx="11">
                  <c:v>Oct-22</c:v>
                </c:pt>
                <c:pt idx="12">
                  <c:v> </c:v>
                </c:pt>
                <c:pt idx="13">
                  <c:v> </c:v>
                </c:pt>
                <c:pt idx="14">
                  <c:v>Jan-23</c:v>
                </c:pt>
                <c:pt idx="15">
                  <c:v> </c:v>
                </c:pt>
                <c:pt idx="16">
                  <c:v> </c:v>
                </c:pt>
                <c:pt idx="17">
                  <c:v>Apr-23</c:v>
                </c:pt>
                <c:pt idx="18">
                  <c:v> </c:v>
                </c:pt>
                <c:pt idx="19">
                  <c:v> </c:v>
                </c:pt>
                <c:pt idx="20">
                  <c:v>Jul-23</c:v>
                </c:pt>
                <c:pt idx="21">
                  <c:v> </c:v>
                </c:pt>
                <c:pt idx="22">
                  <c:v> </c:v>
                </c:pt>
                <c:pt idx="23">
                  <c:v>Oct-23</c:v>
                </c:pt>
              </c:strCache>
            </c:strRef>
          </c:cat>
          <c:val>
            <c:numRef>
              <c:f>_src!$B$13:$B$36</c:f>
              <c:numCache>
                <c:formatCode>General</c:formatCode>
                <c:ptCount val="24"/>
                <c:pt idx="0">
                  <c:v>0.09719999999999999</c:v>
                </c:pt>
                <c:pt idx="1">
                  <c:v>0.0944</c:v>
                </c:pt>
                <c:pt idx="2">
                  <c:v>0.0968</c:v>
                </c:pt>
                <c:pt idx="3">
                  <c:v>0.09320000000000001</c:v>
                </c:pt>
                <c:pt idx="4">
                  <c:v>0.09089999999999999</c:v>
                </c:pt>
                <c:pt idx="5">
                  <c:v>0.1014</c:v>
                </c:pt>
                <c:pt idx="6">
                  <c:v>0.1095</c:v>
                </c:pt>
                <c:pt idx="7">
                  <c:v>0.1042</c:v>
                </c:pt>
                <c:pt idx="8">
                  <c:v>0.1052</c:v>
                </c:pt>
                <c:pt idx="9">
                  <c:v>0.1059</c:v>
                </c:pt>
                <c:pt idx="10">
                  <c:v>0.0985</c:v>
                </c:pt>
                <c:pt idx="11">
                  <c:v>0.0956</c:v>
                </c:pt>
                <c:pt idx="12">
                  <c:v>0.0987</c:v>
                </c:pt>
                <c:pt idx="13">
                  <c:v>0.1017</c:v>
                </c:pt>
                <c:pt idx="14">
                  <c:v>0.1071</c:v>
                </c:pt>
                <c:pt idx="15">
                  <c:v>0.1121</c:v>
                </c:pt>
                <c:pt idx="16">
                  <c:v>0.1093</c:v>
                </c:pt>
                <c:pt idx="17">
                  <c:v>0.1172</c:v>
                </c:pt>
                <c:pt idx="18">
                  <c:v>0.1131</c:v>
                </c:pt>
                <c:pt idx="19">
                  <c:v>0.1162</c:v>
                </c:pt>
                <c:pt idx="20">
                  <c:v>0.1167</c:v>
                </c:pt>
                <c:pt idx="21">
                  <c:v>0.1152</c:v>
                </c:pt>
                <c:pt idx="22">
                  <c:v>0.1241</c:v>
                </c:pt>
                <c:pt idx="23">
                  <c:v>0.1165</c:v>
                </c:pt>
              </c:numCache>
            </c:numRef>
          </c:val>
        </c:ser>
        <c:marker val="1"/>
        <c:axId val="50020001"/>
        <c:axId val="50020002"/>
      </c:lineChart>
      <c:catAx>
        <c:axId val="50020001"/>
        <c:scaling>
          <c:orientation val="minMax"/>
        </c:scaling>
        <c:axPos val="b"/>
        <c:majorTickMark val="none"/>
        <c:tickLblPos val="nextTo"/>
        <c:spPr>
          <a:ln>
            <a:solidFill>
              <a:srgbClr val="E4E7EA"/>
            </a:solidFill>
          </a:ln>
        </c:spPr>
        <c:txPr>
          <a:bodyPr rot="-2700000" vert="horz"/>
          <a:lstStyle/>
          <a:p>
            <a:pPr>
              <a:defRPr sz="700" baseline="0">
                <a:solidFill>
                  <a:srgbClr val="6E7781"/>
                </a:solidFill>
                <a:latin typeface="Arial"/>
              </a:defRPr>
            </a:pPr>
            <a:endParaRPr lang="en-US"/>
          </a:p>
        </c:txPr>
        <c:crossAx val="50020002"/>
        <c:crosses val="autoZero"/>
        <c:auto val="1"/>
        <c:lblAlgn val="ctr"/>
        <c:lblOffset val="100"/>
      </c:catAx>
      <c:valAx>
        <c:axId val="50020002"/>
        <c:scaling>
          <c:orientation val="minMax"/>
        </c:scaling>
        <c:axPos val="l"/>
        <c:majorGridlines>
          <c:spPr>
            <a:ln>
              <a:solidFill>
                <a:srgbClr val="E4E7EA"/>
              </a:solidFill>
              <a:prstDash val="dash"/>
            </a:ln>
          </c:spPr>
        </c:majorGridlines>
        <c:numFmt formatCode="0%" sourceLinked="0"/>
        <c:majorTickMark val="none"/>
        <c:tickLblPos val="nextTo"/>
        <c:spPr>
          <a:ln>
            <a:noFill/>
          </a:ln>
        </c:spPr>
        <c:txPr>
          <a:bodyPr/>
          <a:lstStyle/>
          <a:p>
            <a:pPr>
              <a:defRPr sz="800" baseline="0">
                <a:solidFill>
                  <a:srgbClr val="6E7781"/>
                </a:solidFill>
                <a:latin typeface="Arial"/>
              </a:defRPr>
            </a:pPr>
            <a:endParaRPr lang="en-US"/>
          </a:p>
        </c:txPr>
        <c:crossAx val="50020001"/>
        <c:crosses val="autoZero"/>
        <c:crossBetween val="between"/>
      </c:valAx>
      <c:spPr>
        <a:noFill/>
        <a:ln>
          <a:noFill/>
        </a:ln>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stacked"/>
        <c:ser>
          <c:idx val="0"/>
          <c:order val="0"/>
          <c:tx>
            <c:v>Lancar (Kol 1)</c:v>
          </c:tx>
          <c:spPr>
            <a:solidFill>
              <a:srgbClr val="C7CCD1"/>
            </a:solidFill>
            <a:ln>
              <a:noFill/>
            </a:ln>
          </c:spPr>
          <c:cat>
            <c:strRef>
              <c:f>_src!$A$41:$A$43</c:f>
              <c:strCache>
                <c:ptCount val="3"/>
                <c:pt idx="0">
                  <c:v>1. Hapus buku</c:v>
                </c:pt>
                <c:pt idx="1">
                  <c:v>2. Restrukturisasi</c:v>
                </c:pt>
                <c:pt idx="2">
                  <c:v>3. Tanpa keduanya</c:v>
                </c:pt>
              </c:strCache>
            </c:strRef>
          </c:cat>
          <c:val>
            <c:numRef>
              <c:f>_src!$B$41:$B$43</c:f>
              <c:numCache>
                <c:formatCode>General</c:formatCode>
                <c:ptCount val="3"/>
                <c:pt idx="0">
                  <c:v>0</c:v>
                </c:pt>
                <c:pt idx="1">
                  <c:v>0.5625</c:v>
                </c:pt>
                <c:pt idx="2">
                  <c:v>0.8647</c:v>
                </c:pt>
              </c:numCache>
            </c:numRef>
          </c:val>
        </c:ser>
        <c:ser>
          <c:idx val="1"/>
          <c:order val="1"/>
          <c:tx>
            <c:v>Perhatian khusus (Kol 2)</c:v>
          </c:tx>
          <c:spPr>
            <a:solidFill>
              <a:srgbClr val="8B9299"/>
            </a:solidFill>
            <a:ln>
              <a:noFill/>
            </a:ln>
          </c:spPr>
          <c:cat>
            <c:strRef>
              <c:f>_src!$A$41:$A$43</c:f>
              <c:strCache>
                <c:ptCount val="3"/>
                <c:pt idx="0">
                  <c:v>1. Hapus buku</c:v>
                </c:pt>
                <c:pt idx="1">
                  <c:v>2. Restrukturisasi</c:v>
                </c:pt>
                <c:pt idx="2">
                  <c:v>3. Tanpa keduanya</c:v>
                </c:pt>
              </c:strCache>
            </c:strRef>
          </c:cat>
          <c:val>
            <c:numRef>
              <c:f>_src!$C$41:$C$43</c:f>
              <c:numCache>
                <c:formatCode>General</c:formatCode>
                <c:ptCount val="3"/>
                <c:pt idx="0">
                  <c:v>0.0164</c:v>
                </c:pt>
                <c:pt idx="1">
                  <c:v>0.3125</c:v>
                </c:pt>
                <c:pt idx="2">
                  <c:v>0.0902</c:v>
                </c:pt>
              </c:numCache>
            </c:numRef>
          </c:val>
        </c:ser>
        <c:ser>
          <c:idx val="2"/>
          <c:order val="2"/>
          <c:tx>
            <c:v>NPL (Kol 3-5)</c:v>
          </c:tx>
          <c:spPr>
            <a:solidFill>
              <a:srgbClr val="722B79"/>
            </a:solidFill>
            <a:ln>
              <a:noFill/>
            </a:ln>
          </c:spPr>
          <c:cat>
            <c:strRef>
              <c:f>_src!$A$41:$A$43</c:f>
              <c:strCache>
                <c:ptCount val="3"/>
                <c:pt idx="0">
                  <c:v>1. Hapus buku</c:v>
                </c:pt>
                <c:pt idx="1">
                  <c:v>2. Restrukturisasi</c:v>
                </c:pt>
                <c:pt idx="2">
                  <c:v>3. Tanpa keduanya</c:v>
                </c:pt>
              </c:strCache>
            </c:strRef>
          </c:cat>
          <c:val>
            <c:numRef>
              <c:f>_src!$D$41:$D$43</c:f>
              <c:numCache>
                <c:formatCode>General</c:formatCode>
                <c:ptCount val="3"/>
                <c:pt idx="0">
                  <c:v>0.9836</c:v>
                </c:pt>
                <c:pt idx="1">
                  <c:v>0.125</c:v>
                </c:pt>
                <c:pt idx="2">
                  <c:v>0.0255</c:v>
                </c:pt>
              </c:numCache>
            </c:numRef>
          </c:val>
        </c:ser>
        <c:ser>
          <c:idx val="3"/>
          <c:order val="3"/>
          <c:tx>
            <c:v>Tanpa riwayat</c:v>
          </c:tx>
          <c:spPr>
            <a:solidFill>
              <a:srgbClr val="E4E7EA"/>
            </a:solidFill>
            <a:ln>
              <a:noFill/>
            </a:ln>
          </c:spPr>
          <c:cat>
            <c:strRef>
              <c:f>_src!$A$41:$A$43</c:f>
              <c:strCache>
                <c:ptCount val="3"/>
                <c:pt idx="0">
                  <c:v>1. Hapus buku</c:v>
                </c:pt>
                <c:pt idx="1">
                  <c:v>2. Restrukturisasi</c:v>
                </c:pt>
                <c:pt idx="2">
                  <c:v>3. Tanpa keduanya</c:v>
                </c:pt>
              </c:strCache>
            </c:strRef>
          </c:cat>
          <c:val>
            <c:numRef>
              <c:f>_src!$E$41:$E$43</c:f>
              <c:numCache>
                <c:formatCode>General</c:formatCode>
                <c:ptCount val="3"/>
                <c:pt idx="0">
                  <c:v>0</c:v>
                </c:pt>
                <c:pt idx="1">
                  <c:v>0</c:v>
                </c:pt>
                <c:pt idx="2">
                  <c:v>0.0196</c:v>
                </c:pt>
              </c:numCache>
            </c:numRef>
          </c:val>
        </c:ser>
        <c:gapWidth val="55"/>
        <c:overlap val="100"/>
        <c:axId val="50030001"/>
        <c:axId val="50030002"/>
      </c:barChart>
      <c:catAx>
        <c:axId val="50030001"/>
        <c:scaling>
          <c:orientation val="maxMin"/>
        </c:scaling>
        <c:axPos val="l"/>
        <c:majorTickMark val="none"/>
        <c:tickLblPos val="nextTo"/>
        <c:spPr>
          <a:ln>
            <a:solidFill>
              <a:srgbClr val="E4E7EA"/>
            </a:solidFill>
          </a:ln>
        </c:spPr>
        <c:txPr>
          <a:bodyPr/>
          <a:lstStyle/>
          <a:p>
            <a:pPr>
              <a:defRPr sz="800" baseline="0">
                <a:solidFill>
                  <a:srgbClr val="111111"/>
                </a:solidFill>
                <a:latin typeface="Arial"/>
              </a:defRPr>
            </a:pPr>
            <a:endParaRPr lang="en-US"/>
          </a:p>
        </c:txPr>
        <c:crossAx val="50030002"/>
        <c:crosses val="autoZero"/>
        <c:auto val="1"/>
        <c:lblAlgn val="ctr"/>
        <c:lblOffset val="100"/>
      </c:catAx>
      <c:valAx>
        <c:axId val="50030002"/>
        <c:scaling>
          <c:orientation val="minMax"/>
          <c:max val="1"/>
          <c:min val="0"/>
        </c:scaling>
        <c:axPos val="t"/>
        <c:majorGridlines>
          <c:spPr>
            <a:ln>
              <a:solidFill>
                <a:srgbClr val="E4E7EA"/>
              </a:solidFill>
              <a:prstDash val="dash"/>
            </a:ln>
          </c:spPr>
        </c:majorGridlines>
        <c:numFmt formatCode="0%" sourceLinked="0"/>
        <c:majorTickMark val="none"/>
        <c:tickLblPos val="nextTo"/>
        <c:spPr>
          <a:ln>
            <a:noFill/>
          </a:ln>
        </c:spPr>
        <c:txPr>
          <a:bodyPr/>
          <a:lstStyle/>
          <a:p>
            <a:pPr>
              <a:defRPr sz="800" baseline="0">
                <a:solidFill>
                  <a:srgbClr val="6E7781"/>
                </a:solidFill>
                <a:latin typeface="Arial"/>
              </a:defRPr>
            </a:pPr>
            <a:endParaRPr lang="en-US"/>
          </a:p>
        </c:txPr>
        <c:crossAx val="50030001"/>
        <c:crosses val="autoZero"/>
        <c:crossBetween val="between"/>
      </c:valAx>
      <c:spPr>
        <a:noFill/>
        <a:ln>
          <a:noFill/>
        </a:ln>
      </c:spPr>
    </c:plotArea>
    <c:legend>
      <c:legendPos val="b"/>
      <c:layout/>
      <c:txPr>
        <a:bodyPr/>
        <a:lstStyle/>
        <a:p>
          <a:pPr>
            <a:defRPr sz="800" baseline="0">
              <a:solidFill>
                <a:srgbClr val="6E7781"/>
              </a:solidFill>
              <a:latin typeface="Arial"/>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Rata-rata jumlah fasilitas</c:v>
          </c:tx>
          <c:spPr>
            <a:solidFill>
              <a:srgbClr val="C7CCD1"/>
            </a:solidFill>
            <a:ln>
              <a:noFill/>
            </a:ln>
          </c:spPr>
          <c:dPt>
            <c:idx val="0"/>
          </c:dPt>
          <c:dPt>
            <c:idx val="1"/>
          </c:dPt>
          <c:dPt>
            <c:idx val="2"/>
          </c:dPt>
          <c:dPt>
            <c:idx val="3"/>
            <c:spPr>
              <a:solidFill>
                <a:srgbClr val="FDAF27"/>
              </a:solidFill>
            </c:spPr>
          </c:dPt>
          <c:dPt>
            <c:idx val="4"/>
          </c:dPt>
          <c:dLbls>
            <c:numFmt formatCode="0.0" sourceLinked="0"/>
            <c:txPr>
              <a:bodyPr/>
              <a:lstStyle/>
              <a:p>
                <a:pPr>
                  <a:defRPr sz="800" b="1" baseline="0">
                    <a:solidFill>
                      <a:srgbClr val="111111"/>
                    </a:solidFill>
                    <a:latin typeface="Arial"/>
                  </a:defRPr>
                </a:pPr>
                <a:endParaRPr lang="en-US"/>
              </a:p>
            </c:txPr>
            <c:showVal val="1"/>
          </c:dLbls>
          <c:cat>
            <c:strRef>
              <c:f>_src!$A$48:$A$52</c:f>
              <c:strCache>
                <c:ptCount val="5"/>
                <c:pt idx="0">
                  <c:v>A. Bersih &amp; lancar</c:v>
                </c:pt>
                <c:pt idx="1">
                  <c:v>B. Pernah telat ringan</c:v>
                </c:pt>
                <c:pt idx="2">
                  <c:v>C. Pernah restrukturisasi</c:v>
                </c:pt>
                <c:pt idx="3">
                  <c:v>D. Macet / NPL</c:v>
                </c:pt>
                <c:pt idx="4">
                  <c:v>E. Sudah hapus buku</c:v>
                </c:pt>
              </c:strCache>
            </c:strRef>
          </c:cat>
          <c:val>
            <c:numRef>
              <c:f>_src!$B$48:$B$52</c:f>
              <c:numCache>
                <c:formatCode>General</c:formatCode>
                <c:ptCount val="5"/>
                <c:pt idx="0">
                  <c:v>17.7</c:v>
                </c:pt>
                <c:pt idx="1">
                  <c:v>34.8</c:v>
                </c:pt>
                <c:pt idx="2">
                  <c:v>28.3</c:v>
                </c:pt>
                <c:pt idx="3">
                  <c:v>64.2</c:v>
                </c:pt>
                <c:pt idx="4">
                  <c:v>50.4</c:v>
                </c:pt>
              </c:numCache>
            </c:numRef>
          </c:val>
        </c:ser>
        <c:gapWidth val="45"/>
        <c:axId val="50040001"/>
        <c:axId val="50040002"/>
      </c:barChart>
      <c:lineChart>
        <c:grouping val="standard"/>
        <c:ser>
          <c:idx val="1"/>
          <c:order val="1"/>
          <c:tx>
            <c:v>% NPL aktif</c:v>
          </c:tx>
          <c:spPr>
            <a:ln w="25400">
              <a:solidFill>
                <a:srgbClr val="722B79"/>
              </a:solidFill>
            </a:ln>
          </c:spPr>
          <c:marker>
            <c:symbol val="circle"/>
            <c:size val="6"/>
            <c:spPr>
              <a:solidFill>
                <a:srgbClr val="722B79"/>
              </a:solidFill>
              <a:ln>
                <a:solidFill>
                  <a:srgbClr val="722B79"/>
                </a:solidFill>
              </a:ln>
            </c:spPr>
          </c:marker>
          <c:dLbls>
            <c:numFmt formatCode="0%" sourceLinked="0"/>
            <c:txPr>
              <a:bodyPr/>
              <a:lstStyle/>
              <a:p>
                <a:pPr>
                  <a:defRPr sz="800" b="1" baseline="0">
                    <a:solidFill>
                      <a:srgbClr val="722B79"/>
                    </a:solidFill>
                    <a:latin typeface="Arial"/>
                  </a:defRPr>
                </a:pPr>
                <a:endParaRPr lang="en-US"/>
              </a:p>
            </c:txPr>
            <c:dLblPos val="t"/>
            <c:showVal val="1"/>
          </c:dLbls>
          <c:cat>
            <c:strRef>
              <c:f>_src!$A$48:$A$52</c:f>
              <c:strCache>
                <c:ptCount val="5"/>
                <c:pt idx="0">
                  <c:v>A. Bersih &amp; lancar</c:v>
                </c:pt>
                <c:pt idx="1">
                  <c:v>B. Pernah telat ringan</c:v>
                </c:pt>
                <c:pt idx="2">
                  <c:v>C. Pernah restrukturisasi</c:v>
                </c:pt>
                <c:pt idx="3">
                  <c:v>D. Macet / NPL</c:v>
                </c:pt>
                <c:pt idx="4">
                  <c:v>E. Sudah hapus buku</c:v>
                </c:pt>
              </c:strCache>
            </c:strRef>
          </c:cat>
          <c:val>
            <c:numRef>
              <c:f>_src!$C$48:$C$52</c:f>
              <c:numCache>
                <c:formatCode>General</c:formatCode>
                <c:ptCount val="5"/>
                <c:pt idx="0">
                  <c:v>0</c:v>
                </c:pt>
                <c:pt idx="1">
                  <c:v>0</c:v>
                </c:pt>
                <c:pt idx="2">
                  <c:v>0</c:v>
                </c:pt>
                <c:pt idx="3">
                  <c:v>0.455</c:v>
                </c:pt>
                <c:pt idx="4">
                  <c:v>0.164</c:v>
                </c:pt>
              </c:numCache>
            </c:numRef>
          </c:val>
        </c:ser>
        <c:marker val="1"/>
        <c:axId val="60040001"/>
        <c:axId val="60040002"/>
      </c:lineChart>
      <c:catAx>
        <c:axId val="50040001"/>
        <c:scaling>
          <c:orientation val="minMax"/>
        </c:scaling>
        <c:axPos val="b"/>
        <c:majorTickMark val="none"/>
        <c:tickLblPos val="nextTo"/>
        <c:spPr>
          <a:ln>
            <a:solidFill>
              <a:srgbClr val="E4E7EA"/>
            </a:solidFill>
          </a:ln>
        </c:spPr>
        <c:txPr>
          <a:bodyPr/>
          <a:lstStyle/>
          <a:p>
            <a:pPr>
              <a:defRPr sz="800" baseline="0">
                <a:solidFill>
                  <a:srgbClr val="6E7781"/>
                </a:solidFill>
                <a:latin typeface="Arial"/>
              </a:defRPr>
            </a:pPr>
            <a:endParaRPr lang="en-US"/>
          </a:p>
        </c:txPr>
        <c:crossAx val="50040002"/>
        <c:crosses val="autoZero"/>
        <c:auto val="1"/>
        <c:lblAlgn val="ctr"/>
        <c:lblOffset val="100"/>
      </c:catAx>
      <c:valAx>
        <c:axId val="50040002"/>
        <c:scaling>
          <c:orientation val="minMax"/>
          <c:max val="78"/>
          <c:min val="0"/>
        </c:scaling>
        <c:delete val="1"/>
        <c:axPos val="l"/>
        <c:numFmt formatCode="General" sourceLinked="1"/>
        <c:majorTickMark val="none"/>
        <c:tickLblPos val="nextTo"/>
        <c:spPr>
          <a:ln>
            <a:noFill/>
          </a:ln>
        </c:spPr>
        <c:txPr>
          <a:bodyPr/>
          <a:lstStyle/>
          <a:p>
            <a:pPr>
              <a:defRPr sz="800" baseline="0">
                <a:solidFill>
                  <a:srgbClr val="6E7781"/>
                </a:solidFill>
                <a:latin typeface="Arial"/>
              </a:defRPr>
            </a:pPr>
            <a:endParaRPr lang="en-US"/>
          </a:p>
        </c:txPr>
        <c:crossAx val="50040001"/>
        <c:crosses val="autoZero"/>
        <c:crossBetween val="between"/>
      </c:valAx>
      <c:valAx>
        <c:axId val="60040002"/>
        <c:scaling>
          <c:orientation val="minMax"/>
          <c:max val="0.62"/>
          <c:min val="0"/>
        </c:scaling>
        <c:delete val="1"/>
        <c:axPos val="r"/>
        <c:numFmt formatCode="General" sourceLinked="1"/>
        <c:tickLblPos val="nextTo"/>
        <c:crossAx val="60040001"/>
        <c:crosses val="max"/>
        <c:crossBetween val="between"/>
      </c:valAx>
      <c:catAx>
        <c:axId val="60040001"/>
        <c:scaling>
          <c:orientation val="minMax"/>
        </c:scaling>
        <c:delete val="1"/>
        <c:axPos val="b"/>
        <c:tickLblPos val="none"/>
        <c:crossAx val="60040002"/>
        <c:crosses val="autoZero"/>
        <c:auto val="1"/>
        <c:lblAlgn val="ctr"/>
        <c:lblOffset val="100"/>
      </c:catAx>
      <c:spPr>
        <a:noFill/>
        <a:ln>
          <a:noFill/>
        </a:ln>
      </c:spPr>
    </c:plotArea>
    <c:legend>
      <c:legendPos val="b"/>
      <c:layout/>
      <c:txPr>
        <a:bodyPr/>
        <a:lstStyle/>
        <a:p>
          <a:pPr>
            <a:defRPr sz="800" baseline="0">
              <a:solidFill>
                <a:srgbClr val="6E7781"/>
              </a:solidFill>
              <a:latin typeface="Arial"/>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Pemohon</c:v>
          </c:tx>
          <c:spPr>
            <a:solidFill>
              <a:srgbClr val="C7CCD1"/>
            </a:solidFill>
            <a:ln>
              <a:noFill/>
            </a:ln>
          </c:spPr>
          <c:dPt>
            <c:idx val="0"/>
          </c:dPt>
          <c:dPt>
            <c:idx val="1"/>
          </c:dPt>
          <c:dPt>
            <c:idx val="2"/>
          </c:dPt>
          <c:dPt>
            <c:idx val="3"/>
            <c:spPr>
              <a:solidFill>
                <a:srgbClr val="722B79"/>
              </a:solidFill>
            </c:spPr>
          </c:dPt>
          <c:dPt>
            <c:idx val="4"/>
            <c:spPr>
              <a:solidFill>
                <a:srgbClr val="722B79"/>
              </a:solidFill>
            </c:spPr>
          </c:dPt>
          <c:dLbls>
            <c:numFmt formatCode="#,##0" sourceLinked="0"/>
            <c:txPr>
              <a:bodyPr/>
              <a:lstStyle/>
              <a:p>
                <a:pPr>
                  <a:defRPr sz="800" b="1" baseline="0">
                    <a:solidFill>
                      <a:srgbClr val="111111"/>
                    </a:solidFill>
                    <a:latin typeface="Arial"/>
                  </a:defRPr>
                </a:pPr>
                <a:endParaRPr lang="en-US"/>
              </a:p>
            </c:txPr>
            <c:showVal val="1"/>
          </c:dLbls>
          <c:cat>
            <c:strRef>
              <c:f>_src!$A$48:$A$52</c:f>
              <c:strCache>
                <c:ptCount val="5"/>
                <c:pt idx="0">
                  <c:v>A. Bersih &amp; lancar</c:v>
                </c:pt>
                <c:pt idx="1">
                  <c:v>B. Pernah telat ringan</c:v>
                </c:pt>
                <c:pt idx="2">
                  <c:v>C. Pernah restrukturisasi</c:v>
                </c:pt>
                <c:pt idx="3">
                  <c:v>D. Macet / NPL</c:v>
                </c:pt>
                <c:pt idx="4">
                  <c:v>E. Sudah hapus buku</c:v>
                </c:pt>
              </c:strCache>
            </c:strRef>
          </c:cat>
          <c:val>
            <c:numRef>
              <c:f>_src!$D$48:$D$52</c:f>
              <c:numCache>
                <c:formatCode>General</c:formatCode>
                <c:ptCount val="5"/>
                <c:pt idx="0">
                  <c:v>426</c:v>
                </c:pt>
                <c:pt idx="1">
                  <c:v>64</c:v>
                </c:pt>
                <c:pt idx="2">
                  <c:v>14</c:v>
                </c:pt>
                <c:pt idx="3">
                  <c:v>22</c:v>
                </c:pt>
                <c:pt idx="4">
                  <c:v>61</c:v>
                </c:pt>
              </c:numCache>
            </c:numRef>
          </c:val>
        </c:ser>
        <c:gapWidth val="45"/>
        <c:axId val="50050001"/>
        <c:axId val="50050002"/>
      </c:barChart>
      <c:catAx>
        <c:axId val="50050001"/>
        <c:scaling>
          <c:orientation val="maxMin"/>
        </c:scaling>
        <c:axPos val="l"/>
        <c:majorTickMark val="none"/>
        <c:tickLblPos val="nextTo"/>
        <c:spPr>
          <a:ln>
            <a:solidFill>
              <a:srgbClr val="E4E7EA"/>
            </a:solidFill>
          </a:ln>
        </c:spPr>
        <c:txPr>
          <a:bodyPr/>
          <a:lstStyle/>
          <a:p>
            <a:pPr>
              <a:defRPr sz="800" baseline="0">
                <a:solidFill>
                  <a:srgbClr val="111111"/>
                </a:solidFill>
                <a:latin typeface="Arial"/>
              </a:defRPr>
            </a:pPr>
            <a:endParaRPr lang="en-US"/>
          </a:p>
        </c:txPr>
        <c:crossAx val="50050002"/>
        <c:crosses val="autoZero"/>
        <c:auto val="1"/>
        <c:lblAlgn val="ctr"/>
        <c:lblOffset val="100"/>
      </c:catAx>
      <c:valAx>
        <c:axId val="50050002"/>
        <c:scaling>
          <c:orientation val="minMax"/>
          <c:max val="560"/>
          <c:min val="0"/>
        </c:scaling>
        <c:delete val="1"/>
        <c:axPos val="t"/>
        <c:numFmt formatCode="General" sourceLinked="1"/>
        <c:tickLblPos val="nextTo"/>
        <c:crossAx val="50050001"/>
        <c:crosses val="autoZero"/>
        <c:crossBetween val="between"/>
      </c:valAx>
      <c:spPr>
        <a:noFill/>
        <a:ln>
          <a:noFill/>
        </a:ln>
      </c:spPr>
    </c:plotArea>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Pernah bermasalah 12 bulan</c:v>
          </c:tx>
          <c:spPr>
            <a:ln w="28575">
              <a:solidFill>
                <a:srgbClr val="722B79"/>
              </a:solidFill>
            </a:ln>
          </c:spPr>
          <c:marker>
            <c:symbol val="circle"/>
            <c:size val="5"/>
            <c:spPr>
              <a:solidFill>
                <a:srgbClr val="722B79"/>
              </a:solidFill>
              <a:ln>
                <a:solidFill>
                  <a:srgbClr val="722B79"/>
                </a:solidFill>
              </a:ln>
            </c:spPr>
          </c:marker>
          <c:dLbls>
            <c:numFmt formatCode="0%" sourceLinked="0"/>
            <c:txPr>
              <a:bodyPr/>
              <a:lstStyle/>
              <a:p>
                <a:pPr>
                  <a:defRPr sz="700" b="1" baseline="0">
                    <a:solidFill>
                      <a:srgbClr val="722B79"/>
                    </a:solidFill>
                    <a:latin typeface="Arial"/>
                  </a:defRPr>
                </a:pPr>
                <a:endParaRPr lang="en-US"/>
              </a:p>
            </c:txPr>
            <c:dLblPos val="t"/>
            <c:showVal val="1"/>
          </c:dLbls>
          <c:cat>
            <c:strRef>
              <c:f>_src!$A$57:$A$66</c:f>
              <c:strCache>
                <c:ptCount val="10"/>
                <c:pt idx="0">
                  <c:v>D1</c:v>
                </c:pt>
                <c:pt idx="1">
                  <c:v>D2</c:v>
                </c:pt>
                <c:pt idx="2">
                  <c:v>D3</c:v>
                </c:pt>
                <c:pt idx="3">
                  <c:v>D4</c:v>
                </c:pt>
                <c:pt idx="4">
                  <c:v>D5</c:v>
                </c:pt>
                <c:pt idx="5">
                  <c:v>D6</c:v>
                </c:pt>
                <c:pt idx="6">
                  <c:v>D7</c:v>
                </c:pt>
                <c:pt idx="7">
                  <c:v>D8</c:v>
                </c:pt>
                <c:pt idx="8">
                  <c:v>D9</c:v>
                </c:pt>
                <c:pt idx="9">
                  <c:v>D10</c:v>
                </c:pt>
              </c:strCache>
            </c:strRef>
          </c:cat>
          <c:val>
            <c:numRef>
              <c:f>_src!$B$57:$B$66</c:f>
              <c:numCache>
                <c:formatCode>General</c:formatCode>
                <c:ptCount val="10"/>
                <c:pt idx="0">
                  <c:v>0.271</c:v>
                </c:pt>
                <c:pt idx="1">
                  <c:v>0.288</c:v>
                </c:pt>
                <c:pt idx="2">
                  <c:v>0.259</c:v>
                </c:pt>
                <c:pt idx="3">
                  <c:v>0.136</c:v>
                </c:pt>
                <c:pt idx="4">
                  <c:v>0.119</c:v>
                </c:pt>
                <c:pt idx="5">
                  <c:v>0.06900000000000001</c:v>
                </c:pt>
                <c:pt idx="6">
                  <c:v>0.068</c:v>
                </c:pt>
                <c:pt idx="7">
                  <c:v>0.08599999999999999</c:v>
                </c:pt>
                <c:pt idx="8">
                  <c:v>0.068</c:v>
                </c:pt>
                <c:pt idx="9">
                  <c:v>0.034</c:v>
                </c:pt>
              </c:numCache>
            </c:numRef>
          </c:val>
        </c:ser>
        <c:ser>
          <c:idx val="1"/>
          <c:order val="1"/>
          <c:tx>
            <c:v>NPL aktif per Nov-2023</c:v>
          </c:tx>
          <c:spPr>
            <a:ln w="22225">
              <a:solidFill>
                <a:srgbClr val="8B9299"/>
              </a:solidFill>
              <a:prstDash val="dash"/>
            </a:ln>
          </c:spPr>
          <c:marker>
            <c:symbol val="circle"/>
            <c:size val="4"/>
            <c:spPr>
              <a:solidFill>
                <a:srgbClr val="8B9299"/>
              </a:solidFill>
              <a:ln>
                <a:solidFill>
                  <a:srgbClr val="8B9299"/>
                </a:solidFill>
              </a:ln>
            </c:spPr>
          </c:marker>
          <c:cat>
            <c:strRef>
              <c:f>_src!$A$57:$A$66</c:f>
              <c:strCache>
                <c:ptCount val="10"/>
                <c:pt idx="0">
                  <c:v>D1</c:v>
                </c:pt>
                <c:pt idx="1">
                  <c:v>D2</c:v>
                </c:pt>
                <c:pt idx="2">
                  <c:v>D3</c:v>
                </c:pt>
                <c:pt idx="3">
                  <c:v>D4</c:v>
                </c:pt>
                <c:pt idx="4">
                  <c:v>D5</c:v>
                </c:pt>
                <c:pt idx="5">
                  <c:v>D6</c:v>
                </c:pt>
                <c:pt idx="6">
                  <c:v>D7</c:v>
                </c:pt>
                <c:pt idx="7">
                  <c:v>D8</c:v>
                </c:pt>
                <c:pt idx="8">
                  <c:v>D9</c:v>
                </c:pt>
                <c:pt idx="9">
                  <c:v>D10</c:v>
                </c:pt>
              </c:strCache>
            </c:strRef>
          </c:cat>
          <c:val>
            <c:numRef>
              <c:f>_src!$C$57:$C$66</c:f>
              <c:numCache>
                <c:formatCode>General</c:formatCode>
                <c:ptCount val="10"/>
                <c:pt idx="0">
                  <c:v>0.068</c:v>
                </c:pt>
                <c:pt idx="1">
                  <c:v>0.068</c:v>
                </c:pt>
                <c:pt idx="2">
                  <c:v>0.08599999999999999</c:v>
                </c:pt>
                <c:pt idx="3">
                  <c:v>0.017</c:v>
                </c:pt>
                <c:pt idx="4">
                  <c:v>0.034</c:v>
                </c:pt>
                <c:pt idx="5">
                  <c:v>0</c:v>
                </c:pt>
                <c:pt idx="6">
                  <c:v>0.034</c:v>
                </c:pt>
                <c:pt idx="7">
                  <c:v>0.017</c:v>
                </c:pt>
                <c:pt idx="8">
                  <c:v>0.017</c:v>
                </c:pt>
                <c:pt idx="9">
                  <c:v>0</c:v>
                </c:pt>
              </c:numCache>
            </c:numRef>
          </c:val>
        </c:ser>
        <c:marker val="1"/>
        <c:axId val="50060001"/>
        <c:axId val="50060002"/>
      </c:lineChart>
      <c:catAx>
        <c:axId val="50060001"/>
        <c:scaling>
          <c:orientation val="minMax"/>
        </c:scaling>
        <c:axPos val="b"/>
        <c:majorTickMark val="none"/>
        <c:tickLblPos val="nextTo"/>
        <c:spPr>
          <a:ln>
            <a:solidFill>
              <a:srgbClr val="E4E7EA"/>
            </a:solidFill>
          </a:ln>
        </c:spPr>
        <c:txPr>
          <a:bodyPr/>
          <a:lstStyle/>
          <a:p>
            <a:pPr>
              <a:defRPr sz="800" baseline="0">
                <a:solidFill>
                  <a:srgbClr val="6E7781"/>
                </a:solidFill>
                <a:latin typeface="Arial"/>
              </a:defRPr>
            </a:pPr>
            <a:endParaRPr lang="en-US"/>
          </a:p>
        </c:txPr>
        <c:crossAx val="50060002"/>
        <c:crosses val="autoZero"/>
        <c:auto val="1"/>
        <c:lblAlgn val="ctr"/>
        <c:lblOffset val="100"/>
      </c:catAx>
      <c:valAx>
        <c:axId val="50060002"/>
        <c:scaling>
          <c:orientation val="minMax"/>
        </c:scaling>
        <c:axPos val="l"/>
        <c:majorGridlines>
          <c:spPr>
            <a:ln>
              <a:solidFill>
                <a:srgbClr val="E4E7EA"/>
              </a:solidFill>
              <a:prstDash val="dash"/>
            </a:ln>
          </c:spPr>
        </c:majorGridlines>
        <c:numFmt formatCode="0%" sourceLinked="0"/>
        <c:majorTickMark val="none"/>
        <c:tickLblPos val="nextTo"/>
        <c:spPr>
          <a:ln>
            <a:noFill/>
          </a:ln>
        </c:spPr>
        <c:txPr>
          <a:bodyPr/>
          <a:lstStyle/>
          <a:p>
            <a:pPr>
              <a:defRPr sz="800" baseline="0">
                <a:solidFill>
                  <a:srgbClr val="6E7781"/>
                </a:solidFill>
                <a:latin typeface="Arial"/>
              </a:defRPr>
            </a:pPr>
            <a:endParaRPr lang="en-US"/>
          </a:p>
        </c:txPr>
        <c:crossAx val="50060001"/>
        <c:crosses val="autoZero"/>
        <c:crossBetween val="between"/>
      </c:valAx>
      <c:spPr>
        <a:noFill/>
        <a:ln>
          <a:noFill/>
        </a:ln>
      </c:spPr>
    </c:plotArea>
    <c:legend>
      <c:legendPos val="b"/>
      <c:layout/>
      <c:txPr>
        <a:bodyPr/>
        <a:lstStyle/>
        <a:p>
          <a:pPr>
            <a:defRPr sz="800" baseline="0">
              <a:solidFill>
                <a:srgbClr val="6E7781"/>
              </a:solidFill>
              <a:latin typeface="Arial"/>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Pemohon</c:v>
          </c:tx>
          <c:spPr>
            <a:solidFill>
              <a:srgbClr val="C7CCD1"/>
            </a:solidFill>
            <a:ln>
              <a:noFill/>
            </a:ln>
          </c:spPr>
          <c:dPt>
            <c:idx val="0"/>
            <c:spPr>
              <a:solidFill>
                <a:srgbClr val="FDAF27"/>
              </a:solidFill>
            </c:spPr>
          </c:dPt>
          <c:dPt>
            <c:idx val="1"/>
          </c:dPt>
          <c:dPt>
            <c:idx val="2"/>
          </c:dPt>
          <c:dPt>
            <c:idx val="3"/>
          </c:dPt>
          <c:dPt>
            <c:idx val="4"/>
          </c:dPt>
          <c:dPt>
            <c:idx val="5"/>
          </c:dPt>
          <c:dLbls>
            <c:numFmt formatCode="#,##0" sourceLinked="0"/>
            <c:txPr>
              <a:bodyPr/>
              <a:lstStyle/>
              <a:p>
                <a:pPr>
                  <a:defRPr sz="800" b="1" baseline="0">
                    <a:solidFill>
                      <a:srgbClr val="111111"/>
                    </a:solidFill>
                    <a:latin typeface="Arial"/>
                  </a:defRPr>
                </a:pPr>
                <a:endParaRPr lang="en-US"/>
              </a:p>
            </c:txPr>
            <c:showVal val="1"/>
          </c:dLbls>
          <c:cat>
            <c:strRef>
              <c:f>_src!$A$71:$A$76</c:f>
              <c:strCache>
                <c:ptCount val="6"/>
                <c:pt idx="0">
                  <c:v>Rp 0</c:v>
                </c:pt>
                <c:pt idx="1">
                  <c:v>&lt; Rp 1 jt</c:v>
                </c:pt>
                <c:pt idx="2">
                  <c:v>Rp 1-5 jt</c:v>
                </c:pt>
                <c:pt idx="3">
                  <c:v>Rp 5-25 jt</c:v>
                </c:pt>
                <c:pt idx="4">
                  <c:v>Rp 25-100 jt</c:v>
                </c:pt>
                <c:pt idx="5">
                  <c:v>&gt; Rp 100 jt</c:v>
                </c:pt>
              </c:strCache>
            </c:strRef>
          </c:cat>
          <c:val>
            <c:numRef>
              <c:f>_src!$B$71:$B$76</c:f>
              <c:numCache>
                <c:formatCode>General</c:formatCode>
                <c:ptCount val="6"/>
                <c:pt idx="0">
                  <c:v>107</c:v>
                </c:pt>
                <c:pt idx="1">
                  <c:v>25</c:v>
                </c:pt>
                <c:pt idx="2">
                  <c:v>60</c:v>
                </c:pt>
                <c:pt idx="3">
                  <c:v>98</c:v>
                </c:pt>
                <c:pt idx="4">
                  <c:v>122</c:v>
                </c:pt>
                <c:pt idx="5">
                  <c:v>175</c:v>
                </c:pt>
              </c:numCache>
            </c:numRef>
          </c:val>
        </c:ser>
        <c:gapWidth val="25"/>
        <c:axId val="50070001"/>
        <c:axId val="50070002"/>
      </c:barChart>
      <c:catAx>
        <c:axId val="50070001"/>
        <c:scaling>
          <c:orientation val="minMax"/>
        </c:scaling>
        <c:axPos val="b"/>
        <c:majorTickMark val="none"/>
        <c:tickLblPos val="nextTo"/>
        <c:spPr>
          <a:ln>
            <a:solidFill>
              <a:srgbClr val="E4E7EA"/>
            </a:solidFill>
          </a:ln>
        </c:spPr>
        <c:txPr>
          <a:bodyPr/>
          <a:lstStyle/>
          <a:p>
            <a:pPr>
              <a:defRPr sz="750" baseline="0">
                <a:solidFill>
                  <a:srgbClr val="6E7781"/>
                </a:solidFill>
                <a:latin typeface="Arial"/>
              </a:defRPr>
            </a:pPr>
            <a:endParaRPr lang="en-US"/>
          </a:p>
        </c:txPr>
        <c:crossAx val="50070002"/>
        <c:crosses val="autoZero"/>
        <c:auto val="1"/>
        <c:lblAlgn val="ctr"/>
        <c:lblOffset val="100"/>
      </c:catAx>
      <c:valAx>
        <c:axId val="50070002"/>
        <c:scaling>
          <c:orientation val="minMax"/>
          <c:max val="260"/>
          <c:min val="0"/>
        </c:scaling>
        <c:delete val="1"/>
        <c:axPos val="l"/>
        <c:numFmt formatCode="General" sourceLinked="1"/>
        <c:tickLblPos val="nextTo"/>
        <c:crossAx val="50070001"/>
        <c:crosses val="autoZero"/>
        <c:crossBetween val="between"/>
      </c:valAx>
      <c:spPr>
        <a:noFill/>
        <a:ln>
          <a:noFill/>
        </a:ln>
      </c:spPr>
    </c:plotArea>
    <c:plotVisOnly val="1"/>
  </c:chart>
  <c:spPr>
    <a:solidFill>
      <a:srgbClr val="FFFFFF"/>
    </a:solid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Pemohon</c:v>
          </c:tx>
          <c:spPr>
            <a:solidFill>
              <a:srgbClr val="C7CCD1"/>
            </a:solidFill>
            <a:ln>
              <a:noFill/>
            </a:ln>
          </c:spPr>
          <c:dPt>
            <c:idx val="0"/>
            <c:spPr>
              <a:solidFill>
                <a:srgbClr val="FDAF27"/>
              </a:solidFill>
            </c:spPr>
          </c:dPt>
          <c:dPt>
            <c:idx val="1"/>
          </c:dPt>
          <c:dPt>
            <c:idx val="2"/>
          </c:dPt>
          <c:dPt>
            <c:idx val="3"/>
          </c:dPt>
          <c:dPt>
            <c:idx val="4"/>
          </c:dPt>
          <c:dPt>
            <c:idx val="5"/>
          </c:dPt>
          <c:dLbls>
            <c:numFmt formatCode="#,##0" sourceLinked="0"/>
            <c:txPr>
              <a:bodyPr/>
              <a:lstStyle/>
              <a:p>
                <a:pPr>
                  <a:defRPr sz="800" b="1" baseline="0">
                    <a:solidFill>
                      <a:srgbClr val="111111"/>
                    </a:solidFill>
                    <a:latin typeface="Arial"/>
                  </a:defRPr>
                </a:pPr>
                <a:endParaRPr lang="en-US"/>
              </a:p>
            </c:txPr>
            <c:showVal val="1"/>
          </c:dLbls>
          <c:cat>
            <c:strRef>
              <c:f>_src!$A$71:$A$76</c:f>
              <c:strCache>
                <c:ptCount val="6"/>
                <c:pt idx="0">
                  <c:v>Rp 0</c:v>
                </c:pt>
                <c:pt idx="1">
                  <c:v>&lt; Rp 1 jt</c:v>
                </c:pt>
                <c:pt idx="2">
                  <c:v>Rp 1-5 jt</c:v>
                </c:pt>
                <c:pt idx="3">
                  <c:v>Rp 5-25 jt</c:v>
                </c:pt>
                <c:pt idx="4">
                  <c:v>Rp 25-100 jt</c:v>
                </c:pt>
                <c:pt idx="5">
                  <c:v>&gt; Rp 100 jt</c:v>
                </c:pt>
              </c:strCache>
            </c:strRef>
          </c:cat>
          <c:val>
            <c:numRef>
              <c:f>_src!$C$71:$C$76</c:f>
              <c:numCache>
                <c:formatCode>General</c:formatCode>
                <c:ptCount val="6"/>
                <c:pt idx="0">
                  <c:v>60</c:v>
                </c:pt>
                <c:pt idx="1">
                  <c:v>176</c:v>
                </c:pt>
                <c:pt idx="2">
                  <c:v>185</c:v>
                </c:pt>
                <c:pt idx="3">
                  <c:v>110</c:v>
                </c:pt>
                <c:pt idx="4">
                  <c:v>43</c:v>
                </c:pt>
                <c:pt idx="5">
                  <c:v>13</c:v>
                </c:pt>
              </c:numCache>
            </c:numRef>
          </c:val>
        </c:ser>
        <c:gapWidth val="25"/>
        <c:axId val="50080001"/>
        <c:axId val="50080002"/>
      </c:barChart>
      <c:catAx>
        <c:axId val="50080001"/>
        <c:scaling>
          <c:orientation val="minMax"/>
        </c:scaling>
        <c:axPos val="b"/>
        <c:majorTickMark val="none"/>
        <c:tickLblPos val="nextTo"/>
        <c:spPr>
          <a:ln>
            <a:solidFill>
              <a:srgbClr val="E4E7EA"/>
            </a:solidFill>
          </a:ln>
        </c:spPr>
        <c:txPr>
          <a:bodyPr/>
          <a:lstStyle/>
          <a:p>
            <a:pPr>
              <a:defRPr sz="750" baseline="0">
                <a:solidFill>
                  <a:srgbClr val="6E7781"/>
                </a:solidFill>
                <a:latin typeface="Arial"/>
              </a:defRPr>
            </a:pPr>
            <a:endParaRPr lang="en-US"/>
          </a:p>
        </c:txPr>
        <c:crossAx val="50080002"/>
        <c:crosses val="autoZero"/>
        <c:auto val="1"/>
        <c:lblAlgn val="ctr"/>
        <c:lblOffset val="100"/>
      </c:catAx>
      <c:valAx>
        <c:axId val="50080002"/>
        <c:scaling>
          <c:orientation val="minMax"/>
          <c:max val="260"/>
          <c:min val="0"/>
        </c:scaling>
        <c:delete val="1"/>
        <c:axPos val="l"/>
        <c:numFmt formatCode="General" sourceLinked="1"/>
        <c:tickLblPos val="nextTo"/>
        <c:crossAx val="50080001"/>
        <c:crosses val="autoZero"/>
        <c:crossBetween val="between"/>
      </c:valAx>
      <c:spPr>
        <a:noFill/>
        <a:ln>
          <a:noFill/>
        </a:ln>
      </c:spPr>
    </c:plotArea>
    <c:plotVisOnly val="1"/>
  </c:chart>
  <c:spPr>
    <a:solidFill>
      <a:srgbClr val="FFFFFF"/>
    </a:solid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Rata-rata hari telat</c:v>
          </c:tx>
          <c:spPr>
            <a:solidFill>
              <a:srgbClr val="C7CCD1"/>
            </a:solidFill>
            <a:ln>
              <a:noFill/>
            </a:ln>
          </c:spPr>
          <c:cat>
            <c:strRef>
              <c:f>_src!$G$81:$G$104</c:f>
              <c:strCache>
                <c:ptCount val="24"/>
                <c:pt idx="0">
                  <c:v> </c:v>
                </c:pt>
                <c:pt idx="1">
                  <c:v> </c:v>
                </c:pt>
                <c:pt idx="2">
                  <c:v>Jan-22</c:v>
                </c:pt>
                <c:pt idx="3">
                  <c:v> </c:v>
                </c:pt>
                <c:pt idx="4">
                  <c:v> </c:v>
                </c:pt>
                <c:pt idx="5">
                  <c:v>Apr-22</c:v>
                </c:pt>
                <c:pt idx="6">
                  <c:v> </c:v>
                </c:pt>
                <c:pt idx="7">
                  <c:v> </c:v>
                </c:pt>
                <c:pt idx="8">
                  <c:v>Jul-22</c:v>
                </c:pt>
                <c:pt idx="9">
                  <c:v> </c:v>
                </c:pt>
                <c:pt idx="10">
                  <c:v> </c:v>
                </c:pt>
                <c:pt idx="11">
                  <c:v>Oct-22</c:v>
                </c:pt>
                <c:pt idx="12">
                  <c:v> </c:v>
                </c:pt>
                <c:pt idx="13">
                  <c:v> </c:v>
                </c:pt>
                <c:pt idx="14">
                  <c:v>Jan-23</c:v>
                </c:pt>
                <c:pt idx="15">
                  <c:v> </c:v>
                </c:pt>
                <c:pt idx="16">
                  <c:v> </c:v>
                </c:pt>
                <c:pt idx="17">
                  <c:v>Apr-23</c:v>
                </c:pt>
                <c:pt idx="18">
                  <c:v> </c:v>
                </c:pt>
                <c:pt idx="19">
                  <c:v> </c:v>
                </c:pt>
                <c:pt idx="20">
                  <c:v>Jul-23</c:v>
                </c:pt>
                <c:pt idx="21">
                  <c:v> </c:v>
                </c:pt>
                <c:pt idx="22">
                  <c:v> </c:v>
                </c:pt>
                <c:pt idx="23">
                  <c:v>Oct-23</c:v>
                </c:pt>
              </c:strCache>
            </c:strRef>
          </c:cat>
          <c:val>
            <c:numRef>
              <c:f>_src!$F$81:$F$104</c:f>
              <c:numCache>
                <c:formatCode>General</c:formatCode>
                <c:ptCount val="24"/>
                <c:pt idx="0">
                  <c:v>26.9</c:v>
                </c:pt>
                <c:pt idx="1">
                  <c:v>24.0</c:v>
                </c:pt>
                <c:pt idx="2">
                  <c:v>22.5</c:v>
                </c:pt>
                <c:pt idx="3">
                  <c:v>21.6</c:v>
                </c:pt>
                <c:pt idx="4">
                  <c:v>19.5</c:v>
                </c:pt>
                <c:pt idx="5">
                  <c:v>20.6</c:v>
                </c:pt>
                <c:pt idx="6">
                  <c:v>20.8</c:v>
                </c:pt>
                <c:pt idx="7">
                  <c:v>20.4</c:v>
                </c:pt>
                <c:pt idx="8">
                  <c:v>21.1</c:v>
                </c:pt>
                <c:pt idx="9">
                  <c:v>23.5</c:v>
                </c:pt>
                <c:pt idx="10">
                  <c:v>26.3</c:v>
                </c:pt>
                <c:pt idx="11">
                  <c:v>32.6</c:v>
                </c:pt>
                <c:pt idx="12">
                  <c:v>36.1</c:v>
                </c:pt>
                <c:pt idx="13">
                  <c:v>34.4</c:v>
                </c:pt>
                <c:pt idx="14">
                  <c:v>35.1</c:v>
                </c:pt>
                <c:pt idx="15">
                  <c:v>36.1</c:v>
                </c:pt>
                <c:pt idx="16">
                  <c:v>36.6</c:v>
                </c:pt>
                <c:pt idx="17">
                  <c:v>38.7</c:v>
                </c:pt>
                <c:pt idx="18">
                  <c:v>37.7</c:v>
                </c:pt>
                <c:pt idx="19">
                  <c:v>38.3</c:v>
                </c:pt>
                <c:pt idx="20">
                  <c:v>41.2</c:v>
                </c:pt>
                <c:pt idx="21">
                  <c:v>40.8</c:v>
                </c:pt>
                <c:pt idx="22">
                  <c:v>42.2</c:v>
                </c:pt>
                <c:pt idx="23">
                  <c:v>51.8</c:v>
                </c:pt>
              </c:numCache>
            </c:numRef>
          </c:val>
        </c:ser>
        <c:gapWidth val="30"/>
        <c:axId val="50090001"/>
        <c:axId val="50090002"/>
      </c:barChart>
      <c:lineChart>
        <c:grouping val="standard"/>
        <c:ser>
          <c:idx val="1"/>
          <c:order val="1"/>
          <c:tx>
            <c:v>% pemohon Kol 3-5</c:v>
          </c:tx>
          <c:spPr>
            <a:ln w="28575">
              <a:solidFill>
                <a:srgbClr val="722B79"/>
              </a:solidFill>
            </a:ln>
          </c:spPr>
          <c:marker>
            <c:symbol val="none"/>
          </c:marker>
          <c:cat>
            <c:strRef>
              <c:f>_src!$G$81:$G$104</c:f>
              <c:strCache>
                <c:ptCount val="24"/>
                <c:pt idx="0">
                  <c:v> </c:v>
                </c:pt>
                <c:pt idx="1">
                  <c:v> </c:v>
                </c:pt>
                <c:pt idx="2">
                  <c:v>Jan-22</c:v>
                </c:pt>
                <c:pt idx="3">
                  <c:v> </c:v>
                </c:pt>
                <c:pt idx="4">
                  <c:v> </c:v>
                </c:pt>
                <c:pt idx="5">
                  <c:v>Apr-22</c:v>
                </c:pt>
                <c:pt idx="6">
                  <c:v> </c:v>
                </c:pt>
                <c:pt idx="7">
                  <c:v> </c:v>
                </c:pt>
                <c:pt idx="8">
                  <c:v>Jul-22</c:v>
                </c:pt>
                <c:pt idx="9">
                  <c:v> </c:v>
                </c:pt>
                <c:pt idx="10">
                  <c:v> </c:v>
                </c:pt>
                <c:pt idx="11">
                  <c:v>Oct-22</c:v>
                </c:pt>
                <c:pt idx="12">
                  <c:v> </c:v>
                </c:pt>
                <c:pt idx="13">
                  <c:v> </c:v>
                </c:pt>
                <c:pt idx="14">
                  <c:v>Jan-23</c:v>
                </c:pt>
                <c:pt idx="15">
                  <c:v> </c:v>
                </c:pt>
                <c:pt idx="16">
                  <c:v> </c:v>
                </c:pt>
                <c:pt idx="17">
                  <c:v>Apr-23</c:v>
                </c:pt>
                <c:pt idx="18">
                  <c:v> </c:v>
                </c:pt>
                <c:pt idx="19">
                  <c:v> </c:v>
                </c:pt>
                <c:pt idx="20">
                  <c:v>Jul-23</c:v>
                </c:pt>
                <c:pt idx="21">
                  <c:v> </c:v>
                </c:pt>
                <c:pt idx="22">
                  <c:v> </c:v>
                </c:pt>
                <c:pt idx="23">
                  <c:v>Oct-23</c:v>
                </c:pt>
              </c:strCache>
            </c:strRef>
          </c:cat>
          <c:val>
            <c:numRef>
              <c:f>_src!$E$81:$E$104</c:f>
              <c:numCache>
                <c:formatCode>General</c:formatCode>
                <c:ptCount val="24"/>
                <c:pt idx="0">
                  <c:v>0.0972</c:v>
                </c:pt>
                <c:pt idx="1">
                  <c:v>0.0944</c:v>
                </c:pt>
                <c:pt idx="2">
                  <c:v>0.0968</c:v>
                </c:pt>
                <c:pt idx="3">
                  <c:v>0.0932</c:v>
                </c:pt>
                <c:pt idx="4">
                  <c:v>0.0909</c:v>
                </c:pt>
                <c:pt idx="5">
                  <c:v>0.1014</c:v>
                </c:pt>
                <c:pt idx="6">
                  <c:v>0.1095</c:v>
                </c:pt>
                <c:pt idx="7">
                  <c:v>0.1042</c:v>
                </c:pt>
                <c:pt idx="8">
                  <c:v>0.1052</c:v>
                </c:pt>
                <c:pt idx="9">
                  <c:v>0.1059</c:v>
                </c:pt>
                <c:pt idx="10">
                  <c:v>0.0985</c:v>
                </c:pt>
                <c:pt idx="11">
                  <c:v>0.0956</c:v>
                </c:pt>
                <c:pt idx="12">
                  <c:v>0.0987</c:v>
                </c:pt>
                <c:pt idx="13">
                  <c:v>0.1017</c:v>
                </c:pt>
                <c:pt idx="14">
                  <c:v>0.1071</c:v>
                </c:pt>
                <c:pt idx="15">
                  <c:v>0.1121</c:v>
                </c:pt>
                <c:pt idx="16">
                  <c:v>0.1093</c:v>
                </c:pt>
                <c:pt idx="17">
                  <c:v>0.1172</c:v>
                </c:pt>
                <c:pt idx="18">
                  <c:v>0.1131</c:v>
                </c:pt>
                <c:pt idx="19">
                  <c:v>0.1162</c:v>
                </c:pt>
                <c:pt idx="20">
                  <c:v>0.1167</c:v>
                </c:pt>
                <c:pt idx="21">
                  <c:v>0.1152</c:v>
                </c:pt>
                <c:pt idx="22">
                  <c:v>0.1241</c:v>
                </c:pt>
                <c:pt idx="23">
                  <c:v>0.1165</c:v>
                </c:pt>
              </c:numCache>
            </c:numRef>
          </c:val>
        </c:ser>
        <c:marker val="1"/>
        <c:axId val="60090001"/>
        <c:axId val="60090002"/>
      </c:lineChart>
      <c:catAx>
        <c:axId val="50090001"/>
        <c:scaling>
          <c:orientation val="minMax"/>
        </c:scaling>
        <c:axPos val="b"/>
        <c:majorTickMark val="none"/>
        <c:tickLblPos val="nextTo"/>
        <c:spPr>
          <a:ln>
            <a:solidFill>
              <a:srgbClr val="E4E7EA"/>
            </a:solidFill>
          </a:ln>
        </c:spPr>
        <c:txPr>
          <a:bodyPr rot="-2700000" vert="horz"/>
          <a:lstStyle/>
          <a:p>
            <a:pPr>
              <a:defRPr sz="800" baseline="0">
                <a:solidFill>
                  <a:srgbClr val="6E7781"/>
                </a:solidFill>
                <a:latin typeface="Arial"/>
              </a:defRPr>
            </a:pPr>
            <a:endParaRPr lang="en-US"/>
          </a:p>
        </c:txPr>
        <c:crossAx val="50090002"/>
        <c:crosses val="autoZero"/>
        <c:auto val="1"/>
        <c:lblAlgn val="ctr"/>
        <c:lblOffset val="100"/>
      </c:catAx>
      <c:valAx>
        <c:axId val="50090002"/>
        <c:scaling>
          <c:orientation val="minMax"/>
        </c:scaling>
        <c:axPos val="l"/>
        <c:majorGridlines>
          <c:spPr>
            <a:ln>
              <a:solidFill>
                <a:srgbClr val="E4E7EA"/>
              </a:solidFill>
              <a:prstDash val="dash"/>
            </a:ln>
          </c:spPr>
        </c:majorGridlines>
        <c:numFmt formatCode="0&quot; hr&quot;" sourceLinked="0"/>
        <c:majorTickMark val="none"/>
        <c:tickLblPos val="nextTo"/>
        <c:spPr>
          <a:ln>
            <a:noFill/>
          </a:ln>
        </c:spPr>
        <c:txPr>
          <a:bodyPr/>
          <a:lstStyle/>
          <a:p>
            <a:pPr>
              <a:defRPr sz="800" baseline="0">
                <a:solidFill>
                  <a:srgbClr val="6E7781"/>
                </a:solidFill>
                <a:latin typeface="Arial"/>
              </a:defRPr>
            </a:pPr>
            <a:endParaRPr lang="en-US"/>
          </a:p>
        </c:txPr>
        <c:crossAx val="50090001"/>
        <c:crosses val="autoZero"/>
        <c:crossBetween val="between"/>
      </c:valAx>
      <c:valAx>
        <c:axId val="60090002"/>
        <c:scaling>
          <c:orientation val="minMax"/>
          <c:max val="0.16"/>
          <c:min val="0"/>
        </c:scaling>
        <c:axPos val="r"/>
        <c:numFmt formatCode="0%" sourceLinked="0"/>
        <c:majorTickMark val="none"/>
        <c:tickLblPos val="nextTo"/>
        <c:spPr>
          <a:ln>
            <a:noFill/>
          </a:ln>
        </c:spPr>
        <c:txPr>
          <a:bodyPr/>
          <a:lstStyle/>
          <a:p>
            <a:pPr>
              <a:defRPr sz="800" baseline="0">
                <a:solidFill>
                  <a:srgbClr val="722B79"/>
                </a:solidFill>
                <a:latin typeface="Arial"/>
              </a:defRPr>
            </a:pPr>
            <a:endParaRPr lang="en-US"/>
          </a:p>
        </c:txPr>
        <c:crossAx val="60090001"/>
        <c:crosses val="max"/>
        <c:crossBetween val="between"/>
      </c:valAx>
      <c:catAx>
        <c:axId val="60090001"/>
        <c:scaling>
          <c:orientation val="minMax"/>
        </c:scaling>
        <c:delete val="1"/>
        <c:axPos val="b"/>
        <c:tickLblPos val="none"/>
        <c:crossAx val="60090002"/>
        <c:crosses val="autoZero"/>
        <c:auto val="1"/>
        <c:lblAlgn val="ctr"/>
        <c:lblOffset val="100"/>
      </c:catAx>
      <c:spPr>
        <a:noFill/>
        <a:ln>
          <a:noFill/>
        </a:ln>
      </c:spPr>
    </c:plotArea>
    <c:legend>
      <c:legendPos val="b"/>
      <c:layout/>
      <c:txPr>
        <a:bodyPr/>
        <a:lstStyle/>
        <a:p>
          <a:pPr>
            <a:defRPr sz="800" baseline="0">
              <a:solidFill>
                <a:srgbClr val="6E7781"/>
              </a:solidFill>
              <a:latin typeface="Arial"/>
            </a:defRPr>
          </a:pPr>
          <a:endParaRPr lang="en-US"/>
        </a:p>
      </c:txPr>
    </c:legend>
  </c:chart>
  <c:spPr>
    <a:solidFill>
      <a:srgbClr val="FFFFFF"/>
    </a:solidFill>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Pernah bermasalah 12 bulan</c:v>
          </c:tx>
          <c:spPr>
            <a:solidFill>
              <a:srgbClr val="C7CCD1"/>
            </a:solidFill>
            <a:ln>
              <a:noFill/>
            </a:ln>
          </c:spPr>
          <c:dPt>
            <c:idx val="0"/>
          </c:dPt>
          <c:dPt>
            <c:idx val="1"/>
          </c:dPt>
          <c:dPt>
            <c:idx val="2"/>
          </c:dPt>
          <c:dPt>
            <c:idx val="3"/>
          </c:dPt>
          <c:dPt>
            <c:idx val="4"/>
          </c:dPt>
          <c:dPt>
            <c:idx val="5"/>
          </c:dPt>
          <c:dPt>
            <c:idx val="6"/>
            <c:spPr>
              <a:solidFill>
                <a:srgbClr val="FDAF27"/>
              </a:solidFill>
            </c:spPr>
          </c:dPt>
          <c:dPt>
            <c:idx val="7"/>
          </c:dPt>
          <c:dPt>
            <c:idx val="8"/>
          </c:dPt>
          <c:dLbls>
            <c:numFmt formatCode="0%" sourceLinked="0"/>
            <c:txPr>
              <a:bodyPr/>
              <a:lstStyle/>
              <a:p>
                <a:pPr>
                  <a:defRPr sz="750" b="1" baseline="0">
                    <a:solidFill>
                      <a:srgbClr val="111111"/>
                    </a:solidFill>
                    <a:latin typeface="Arial"/>
                  </a:defRPr>
                </a:pPr>
                <a:endParaRPr lang="en-US"/>
              </a:p>
            </c:txPr>
            <c:showVal val="1"/>
          </c:dLbls>
          <c:cat>
            <c:strRef>
              <c:f>_src!$A$110:$A$118</c:f>
              <c:strCache>
                <c:ptCount val="9"/>
                <c:pt idx="0">
                  <c:v>20-24
(n=47)</c:v>
                </c:pt>
                <c:pt idx="1">
                  <c:v>25-29
(n=184)</c:v>
                </c:pt>
                <c:pt idx="2">
                  <c:v>30-34
(n=123)</c:v>
                </c:pt>
                <c:pt idx="3">
                  <c:v>35-39
(n=81)</c:v>
                </c:pt>
                <c:pt idx="4">
                  <c:v>40-44
(n=75)</c:v>
                </c:pt>
                <c:pt idx="5">
                  <c:v>45-49
(n=36)</c:v>
                </c:pt>
                <c:pt idx="6">
                  <c:v>50-54
(n=26)</c:v>
                </c:pt>
                <c:pt idx="7">
                  <c:v>55-59
(n=13)</c:v>
                </c:pt>
                <c:pt idx="8">
                  <c:v>60-64
(n=2)</c:v>
                </c:pt>
              </c:strCache>
            </c:strRef>
          </c:cat>
          <c:val>
            <c:numRef>
              <c:f>_src!$B$110:$B$118</c:f>
              <c:numCache>
                <c:formatCode>General</c:formatCode>
                <c:ptCount val="9"/>
                <c:pt idx="0">
                  <c:v>0.1277</c:v>
                </c:pt>
                <c:pt idx="1">
                  <c:v>0.1033</c:v>
                </c:pt>
                <c:pt idx="2">
                  <c:v>0.1301</c:v>
                </c:pt>
                <c:pt idx="3">
                  <c:v>0.1852</c:v>
                </c:pt>
                <c:pt idx="4">
                  <c:v>0.16</c:v>
                </c:pt>
                <c:pt idx="5">
                  <c:v>0.1389</c:v>
                </c:pt>
                <c:pt idx="6">
                  <c:v>0.3077</c:v>
                </c:pt>
                <c:pt idx="7">
                  <c:v>0.0769</c:v>
                </c:pt>
                <c:pt idx="8">
                  <c:v>0</c:v>
                </c:pt>
              </c:numCache>
            </c:numRef>
          </c:val>
        </c:ser>
        <c:gapWidth val="35"/>
        <c:axId val="50100001"/>
        <c:axId val="50100002"/>
      </c:barChart>
      <c:catAx>
        <c:axId val="50100001"/>
        <c:scaling>
          <c:orientation val="minMax"/>
        </c:scaling>
        <c:axPos val="b"/>
        <c:majorTickMark val="none"/>
        <c:tickLblPos val="nextTo"/>
        <c:spPr>
          <a:ln>
            <a:solidFill>
              <a:srgbClr val="E4E7EA"/>
            </a:solidFill>
          </a:ln>
        </c:spPr>
        <c:txPr>
          <a:bodyPr/>
          <a:lstStyle/>
          <a:p>
            <a:pPr>
              <a:defRPr sz="700" baseline="0">
                <a:solidFill>
                  <a:srgbClr val="6E7781"/>
                </a:solidFill>
                <a:latin typeface="Arial"/>
              </a:defRPr>
            </a:pPr>
            <a:endParaRPr lang="en-US"/>
          </a:p>
        </c:txPr>
        <c:crossAx val="50100002"/>
        <c:crosses val="autoZero"/>
        <c:auto val="1"/>
        <c:lblAlgn val="ctr"/>
        <c:lblOffset val="100"/>
      </c:catAx>
      <c:valAx>
        <c:axId val="50100002"/>
        <c:scaling>
          <c:orientation val="minMax"/>
          <c:max val="0.38"/>
          <c:min val="0"/>
        </c:scaling>
        <c:delete val="1"/>
        <c:axPos val="l"/>
        <c:numFmt formatCode="General" sourceLinked="1"/>
        <c:tickLblPos val="nextTo"/>
        <c:crossAx val="50100001"/>
        <c:crosses val="autoZero"/>
        <c:crossBetween val="between"/>
      </c:valAx>
      <c:spPr>
        <a:noFill/>
        <a:ln>
          <a:noFill/>
        </a:ln>
      </c:spPr>
    </c:plotArea>
    <c:plotVisOnly val="1"/>
  </c:chart>
  <c:spPr>
    <a:solidFill>
      <a:srgbClr val="FFFFFF"/>
    </a:solidFill>
    <a:ln>
      <a:no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Pernah bermasalah 12 bulan</c:v>
          </c:tx>
          <c:spPr>
            <a:solidFill>
              <a:srgbClr val="C7CCD1"/>
            </a:solidFill>
            <a:ln>
              <a:noFill/>
            </a:ln>
          </c:spPr>
          <c:dPt>
            <c:idx val="0"/>
          </c:dPt>
          <c:dPt>
            <c:idx val="1"/>
          </c:dPt>
          <c:dPt>
            <c:idx val="2"/>
          </c:dPt>
          <c:dPt>
            <c:idx val="3"/>
          </c:dPt>
          <c:dPt>
            <c:idx val="4"/>
            <c:spPr>
              <a:solidFill>
                <a:srgbClr val="FDAF27"/>
              </a:solidFill>
            </c:spPr>
          </c:dPt>
          <c:dLbls>
            <c:numFmt formatCode="0%" sourceLinked="0"/>
            <c:txPr>
              <a:bodyPr/>
              <a:lstStyle/>
              <a:p>
                <a:pPr>
                  <a:defRPr sz="800" b="1" baseline="0">
                    <a:solidFill>
                      <a:srgbClr val="111111"/>
                    </a:solidFill>
                    <a:latin typeface="Arial"/>
                  </a:defRPr>
                </a:pPr>
                <a:endParaRPr lang="en-US"/>
              </a:p>
            </c:txPr>
            <c:showVal val="1"/>
          </c:dLbls>
          <c:cat>
            <c:strRef>
              <c:f>_src!$A$123:$A$127</c:f>
              <c:strCache>
                <c:ptCount val="5"/>
                <c:pt idx="0">
                  <c:v>Diploma 3 (n=34)</c:v>
                </c:pt>
                <c:pt idx="1">
                  <c:v>S-1 (n=256)</c:v>
                </c:pt>
                <c:pt idx="2">
                  <c:v>S-2 (n=23)</c:v>
                </c:pt>
                <c:pt idx="3">
                  <c:v>Lainnya (n=95)</c:v>
                </c:pt>
                <c:pt idx="4">
                  <c:v>Tanpa Gelar (n=159)</c:v>
                </c:pt>
              </c:strCache>
            </c:strRef>
          </c:cat>
          <c:val>
            <c:numRef>
              <c:f>_src!$B$123:$B$127</c:f>
              <c:numCache>
                <c:formatCode>General</c:formatCode>
                <c:ptCount val="5"/>
                <c:pt idx="0">
                  <c:v>0.0588</c:v>
                </c:pt>
                <c:pt idx="1">
                  <c:v>0.1133</c:v>
                </c:pt>
                <c:pt idx="2">
                  <c:v>0.1304</c:v>
                </c:pt>
                <c:pt idx="3">
                  <c:v>0.1579</c:v>
                </c:pt>
                <c:pt idx="4">
                  <c:v>0.195</c:v>
                </c:pt>
              </c:numCache>
            </c:numRef>
          </c:val>
        </c:ser>
        <c:gapWidth val="40"/>
        <c:axId val="50110001"/>
        <c:axId val="50110002"/>
      </c:barChart>
      <c:catAx>
        <c:axId val="50110001"/>
        <c:scaling>
          <c:orientation val="minMax"/>
        </c:scaling>
        <c:axPos val="l"/>
        <c:majorTickMark val="none"/>
        <c:tickLblPos val="nextTo"/>
        <c:spPr>
          <a:ln>
            <a:solidFill>
              <a:srgbClr val="E4E7EA"/>
            </a:solidFill>
          </a:ln>
        </c:spPr>
        <c:txPr>
          <a:bodyPr/>
          <a:lstStyle/>
          <a:p>
            <a:pPr>
              <a:defRPr sz="800" baseline="0">
                <a:solidFill>
                  <a:srgbClr val="111111"/>
                </a:solidFill>
                <a:latin typeface="Arial"/>
              </a:defRPr>
            </a:pPr>
            <a:endParaRPr lang="en-US"/>
          </a:p>
        </c:txPr>
        <c:crossAx val="50110002"/>
        <c:crosses val="autoZero"/>
        <c:auto val="1"/>
        <c:lblAlgn val="ctr"/>
        <c:lblOffset val="100"/>
      </c:catAx>
      <c:valAx>
        <c:axId val="50110002"/>
        <c:scaling>
          <c:orientation val="minMax"/>
          <c:max val="0.27"/>
          <c:min val="0"/>
        </c:scaling>
        <c:delete val="1"/>
        <c:axPos val="b"/>
        <c:numFmt formatCode="General" sourceLinked="1"/>
        <c:tickLblPos val="nextTo"/>
        <c:crossAx val="50110001"/>
        <c:crosses val="autoZero"/>
        <c:crossBetween val="between"/>
      </c:valAx>
      <c:spPr>
        <a:noFill/>
        <a:ln>
          <a:noFill/>
        </a:ln>
      </c:spPr>
    </c:plotArea>
    <c:plotVisOnly val="1"/>
  </c:chart>
  <c:spPr>
    <a:solidFill>
      <a:srgbClr val="FFFFFF"/>
    </a:solidFill>
    <a:ln>
      <a:no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Pemohon lolos</c:v>
          </c:tx>
          <c:spPr>
            <a:solidFill>
              <a:srgbClr val="C7CCD1"/>
            </a:solidFill>
            <a:ln>
              <a:noFill/>
            </a:ln>
          </c:spPr>
          <c:dPt>
            <c:idx val="0"/>
            <c:spPr>
              <a:solidFill>
                <a:srgbClr val="FDAF27"/>
              </a:solidFill>
            </c:spPr>
          </c:dPt>
          <c:dPt>
            <c:idx val="1"/>
          </c:dPt>
          <c:dPt>
            <c:idx val="2"/>
          </c:dPt>
          <c:dPt>
            <c:idx val="3"/>
          </c:dPt>
          <c:dPt>
            <c:idx val="4"/>
          </c:dPt>
          <c:dLbls>
            <c:numFmt formatCode="#,##0" sourceLinked="0"/>
            <c:txPr>
              <a:bodyPr/>
              <a:lstStyle/>
              <a:p>
                <a:pPr>
                  <a:defRPr sz="800" b="1" baseline="0">
                    <a:solidFill>
                      <a:srgbClr val="111111"/>
                    </a:solidFill>
                    <a:latin typeface="Arial"/>
                  </a:defRPr>
                </a:pPr>
                <a:endParaRPr lang="en-US"/>
              </a:p>
            </c:txPr>
            <c:showVal val="1"/>
          </c:dLbls>
          <c:cat>
            <c:strRef>
              <c:f>_src!$A$132:$A$136</c:f>
              <c:strCache>
                <c:ptCount val="5"/>
                <c:pt idx="0">
                  <c:v>A. Bersih &amp; lancar</c:v>
                </c:pt>
                <c:pt idx="1">
                  <c:v>B. Pernah telat ringan</c:v>
                </c:pt>
                <c:pt idx="2">
                  <c:v>C. Pernah restrukturisasi</c:v>
                </c:pt>
                <c:pt idx="3">
                  <c:v>D. Macet / NPL</c:v>
                </c:pt>
                <c:pt idx="4">
                  <c:v>E. Sudah hapus buku</c:v>
                </c:pt>
              </c:strCache>
            </c:strRef>
          </c:cat>
          <c:val>
            <c:numRef>
              <c:f>_src!$B$132:$B$136</c:f>
              <c:numCache>
                <c:formatCode>General</c:formatCode>
                <c:ptCount val="5"/>
                <c:pt idx="0">
                  <c:v>426</c:v>
                </c:pt>
                <c:pt idx="1">
                  <c:v>64</c:v>
                </c:pt>
                <c:pt idx="2">
                  <c:v>0</c:v>
                </c:pt>
                <c:pt idx="3">
                  <c:v>0</c:v>
                </c:pt>
                <c:pt idx="4">
                  <c:v>0</c:v>
                </c:pt>
              </c:numCache>
            </c:numRef>
          </c:val>
        </c:ser>
        <c:gapWidth val="45"/>
        <c:axId val="50120001"/>
        <c:axId val="50120002"/>
      </c:barChart>
      <c:catAx>
        <c:axId val="50120001"/>
        <c:scaling>
          <c:orientation val="maxMin"/>
        </c:scaling>
        <c:axPos val="l"/>
        <c:majorTickMark val="none"/>
        <c:tickLblPos val="nextTo"/>
        <c:spPr>
          <a:ln>
            <a:solidFill>
              <a:srgbClr val="E4E7EA"/>
            </a:solidFill>
          </a:ln>
        </c:spPr>
        <c:txPr>
          <a:bodyPr/>
          <a:lstStyle/>
          <a:p>
            <a:pPr>
              <a:defRPr sz="800" baseline="0">
                <a:solidFill>
                  <a:srgbClr val="111111"/>
                </a:solidFill>
                <a:latin typeface="Arial"/>
              </a:defRPr>
            </a:pPr>
            <a:endParaRPr lang="en-US"/>
          </a:p>
        </c:txPr>
        <c:crossAx val="50120002"/>
        <c:crosses val="autoZero"/>
        <c:auto val="1"/>
        <c:lblAlgn val="ctr"/>
        <c:lblOffset val="100"/>
      </c:catAx>
      <c:valAx>
        <c:axId val="50120002"/>
        <c:scaling>
          <c:orientation val="minMax"/>
          <c:max val="520"/>
          <c:min val="0"/>
        </c:scaling>
        <c:delete val="1"/>
        <c:axPos val="t"/>
        <c:numFmt formatCode="General" sourceLinked="1"/>
        <c:tickLblPos val="nextTo"/>
        <c:crossAx val="50120001"/>
        <c:crosses val="autoZero"/>
        <c:crossBetween val="between"/>
      </c:valAx>
      <c:spPr>
        <a:noFill/>
        <a:ln>
          <a:noFill/>
        </a:ln>
      </c:spPr>
    </c:plotArea>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chart" Target="../charts/chart1.xml"/><Relationship Id="rId3"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chart" Target="../charts/chart4.xml"/><Relationship Id="rId3"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chart" Target="../charts/chart10.xml"/><Relationship Id="rId3"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695325</xdr:colOff>
      <xdr:row>1</xdr:row>
      <xdr:rowOff>66675</xdr:rowOff>
    </xdr:from>
    <xdr:to>
      <xdr:col>12</xdr:col>
      <xdr:colOff>699880</xdr:colOff>
      <xdr:row>2</xdr:row>
      <xdr:rowOff>47625</xdr:rowOff>
    </xdr:to>
    <xdr:pic>
      <xdr:nvPicPr>
        <xdr:cNvPr id="2" name="Picture 1" descr="jago_logo.png"/>
        <xdr:cNvPicPr>
          <a:picLocks noChangeAspect="1"/>
        </xdr:cNvPicPr>
      </xdr:nvPicPr>
      <xdr:blipFill>
        <a:blip xmlns:r="http://schemas.openxmlformats.org/officeDocument/2006/relationships" r:embed="rId1"/>
        <a:stretch>
          <a:fillRect/>
        </a:stretch>
      </xdr:blipFill>
      <xdr:spPr>
        <a:xfrm>
          <a:off x="8743950" y="142875"/>
          <a:ext cx="795130" cy="257175"/>
        </a:xfrm>
        <a:prstGeom prst="rect">
          <a:avLst/>
        </a:prstGeom>
      </xdr:spPr>
    </xdr:pic>
    <xdr:clientData/>
  </xdr:twoCellAnchor>
  <xdr:twoCellAnchor>
    <xdr:from>
      <xdr:col>1</xdr:col>
      <xdr:colOff>19050</xdr:colOff>
      <xdr:row>14</xdr:row>
      <xdr:rowOff>19050</xdr:rowOff>
    </xdr:from>
    <xdr:to>
      <xdr:col>7</xdr:col>
      <xdr:colOff>752475</xdr:colOff>
      <xdr:row>25</xdr:row>
      <xdr:rowOff>200025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19050</xdr:colOff>
      <xdr:row>14</xdr:row>
      <xdr:rowOff>19050</xdr:rowOff>
    </xdr:from>
    <xdr:to>
      <xdr:col>12</xdr:col>
      <xdr:colOff>676275</xdr:colOff>
      <xdr:row>25</xdr:row>
      <xdr:rowOff>200025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695325</xdr:colOff>
      <xdr:row>1</xdr:row>
      <xdr:rowOff>66675</xdr:rowOff>
    </xdr:from>
    <xdr:to>
      <xdr:col>12</xdr:col>
      <xdr:colOff>699880</xdr:colOff>
      <xdr:row>2</xdr:row>
      <xdr:rowOff>47625</xdr:rowOff>
    </xdr:to>
    <xdr:pic>
      <xdr:nvPicPr>
        <xdr:cNvPr id="2" name="Picture 1" descr="jago_logo.png"/>
        <xdr:cNvPicPr>
          <a:picLocks noChangeAspect="1"/>
        </xdr:cNvPicPr>
      </xdr:nvPicPr>
      <xdr:blipFill>
        <a:blip xmlns:r="http://schemas.openxmlformats.org/officeDocument/2006/relationships" r:embed="rId1"/>
        <a:stretch>
          <a:fillRect/>
        </a:stretch>
      </xdr:blipFill>
      <xdr:spPr>
        <a:xfrm>
          <a:off x="8743950" y="142875"/>
          <a:ext cx="795130" cy="257175"/>
        </a:xfrm>
        <a:prstGeom prst="rect">
          <a:avLst/>
        </a:prstGeom>
      </xdr:spPr>
    </xdr:pic>
    <xdr:clientData/>
  </xdr:twoCellAnchor>
  <xdr:twoCellAnchor>
    <xdr:from>
      <xdr:col>1</xdr:col>
      <xdr:colOff>19050</xdr:colOff>
      <xdr:row>19</xdr:row>
      <xdr:rowOff>19050</xdr:rowOff>
    </xdr:from>
    <xdr:to>
      <xdr:col>6</xdr:col>
      <xdr:colOff>752475</xdr:colOff>
      <xdr:row>30</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695325</xdr:colOff>
      <xdr:row>1</xdr:row>
      <xdr:rowOff>66675</xdr:rowOff>
    </xdr:from>
    <xdr:to>
      <xdr:col>12</xdr:col>
      <xdr:colOff>699880</xdr:colOff>
      <xdr:row>2</xdr:row>
      <xdr:rowOff>47625</xdr:rowOff>
    </xdr:to>
    <xdr:pic>
      <xdr:nvPicPr>
        <xdr:cNvPr id="2" name="Picture 1" descr="jago_logo.png"/>
        <xdr:cNvPicPr>
          <a:picLocks noChangeAspect="1"/>
        </xdr:cNvPicPr>
      </xdr:nvPicPr>
      <xdr:blipFill>
        <a:blip xmlns:r="http://schemas.openxmlformats.org/officeDocument/2006/relationships" r:embed="rId1"/>
        <a:stretch>
          <a:fillRect/>
        </a:stretch>
      </xdr:blipFill>
      <xdr:spPr>
        <a:xfrm>
          <a:off x="8743950" y="142875"/>
          <a:ext cx="795130" cy="257175"/>
        </a:xfrm>
        <a:prstGeom prst="rect">
          <a:avLst/>
        </a:prstGeom>
      </xdr:spPr>
    </xdr:pic>
    <xdr:clientData/>
  </xdr:twoCellAnchor>
  <xdr:twoCellAnchor>
    <xdr:from>
      <xdr:col>1</xdr:col>
      <xdr:colOff>19050</xdr:colOff>
      <xdr:row>20</xdr:row>
      <xdr:rowOff>19050</xdr:rowOff>
    </xdr:from>
    <xdr:to>
      <xdr:col>7</xdr:col>
      <xdr:colOff>752475</xdr:colOff>
      <xdr:row>31</xdr:row>
      <xdr:rowOff>190500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19050</xdr:colOff>
      <xdr:row>20</xdr:row>
      <xdr:rowOff>19050</xdr:rowOff>
    </xdr:from>
    <xdr:to>
      <xdr:col>12</xdr:col>
      <xdr:colOff>752475</xdr:colOff>
      <xdr:row>31</xdr:row>
      <xdr:rowOff>190500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695325</xdr:colOff>
      <xdr:row>1</xdr:row>
      <xdr:rowOff>66675</xdr:rowOff>
    </xdr:from>
    <xdr:to>
      <xdr:col>12</xdr:col>
      <xdr:colOff>699880</xdr:colOff>
      <xdr:row>2</xdr:row>
      <xdr:rowOff>47625</xdr:rowOff>
    </xdr:to>
    <xdr:pic>
      <xdr:nvPicPr>
        <xdr:cNvPr id="2" name="Picture 1" descr="jago_logo.png"/>
        <xdr:cNvPicPr>
          <a:picLocks noChangeAspect="1"/>
        </xdr:cNvPicPr>
      </xdr:nvPicPr>
      <xdr:blipFill>
        <a:blip xmlns:r="http://schemas.openxmlformats.org/officeDocument/2006/relationships" r:embed="rId1"/>
        <a:stretch>
          <a:fillRect/>
        </a:stretch>
      </xdr:blipFill>
      <xdr:spPr>
        <a:xfrm>
          <a:off x="8743950" y="142875"/>
          <a:ext cx="795130" cy="257175"/>
        </a:xfrm>
        <a:prstGeom prst="rect">
          <a:avLst/>
        </a:prstGeom>
      </xdr:spPr>
    </xdr:pic>
    <xdr:clientData/>
  </xdr:twoCellAnchor>
  <xdr:twoCellAnchor>
    <xdr:from>
      <xdr:col>1</xdr:col>
      <xdr:colOff>19050</xdr:colOff>
      <xdr:row>10</xdr:row>
      <xdr:rowOff>19050</xdr:rowOff>
    </xdr:from>
    <xdr:to>
      <xdr:col>6</xdr:col>
      <xdr:colOff>752475</xdr:colOff>
      <xdr:row>21</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25</xdr:row>
      <xdr:rowOff>19050</xdr:rowOff>
    </xdr:from>
    <xdr:to>
      <xdr:col>6</xdr:col>
      <xdr:colOff>752475</xdr:colOff>
      <xdr:row>32</xdr:row>
      <xdr:rowOff>171450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19050</xdr:colOff>
      <xdr:row>25</xdr:row>
      <xdr:rowOff>19050</xdr:rowOff>
    </xdr:from>
    <xdr:to>
      <xdr:col>12</xdr:col>
      <xdr:colOff>752475</xdr:colOff>
      <xdr:row>32</xdr:row>
      <xdr:rowOff>171450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695325</xdr:colOff>
      <xdr:row>1</xdr:row>
      <xdr:rowOff>66675</xdr:rowOff>
    </xdr:from>
    <xdr:to>
      <xdr:col>12</xdr:col>
      <xdr:colOff>699880</xdr:colOff>
      <xdr:row>2</xdr:row>
      <xdr:rowOff>47625</xdr:rowOff>
    </xdr:to>
    <xdr:pic>
      <xdr:nvPicPr>
        <xdr:cNvPr id="2" name="Picture 1" descr="jago_logo.png"/>
        <xdr:cNvPicPr>
          <a:picLocks noChangeAspect="1"/>
        </xdr:cNvPicPr>
      </xdr:nvPicPr>
      <xdr:blipFill>
        <a:blip xmlns:r="http://schemas.openxmlformats.org/officeDocument/2006/relationships" r:embed="rId1"/>
        <a:stretch>
          <a:fillRect/>
        </a:stretch>
      </xdr:blipFill>
      <xdr:spPr>
        <a:xfrm>
          <a:off x="8743950" y="142875"/>
          <a:ext cx="795130" cy="257175"/>
        </a:xfrm>
        <a:prstGeom prst="rect">
          <a:avLst/>
        </a:prstGeom>
      </xdr:spPr>
    </xdr:pic>
    <xdr:clientData/>
  </xdr:twoCellAnchor>
  <xdr:twoCellAnchor>
    <xdr:from>
      <xdr:col>1</xdr:col>
      <xdr:colOff>19050</xdr:colOff>
      <xdr:row>12</xdr:row>
      <xdr:rowOff>19050</xdr:rowOff>
    </xdr:from>
    <xdr:to>
      <xdr:col>7</xdr:col>
      <xdr:colOff>752475</xdr:colOff>
      <xdr:row>25</xdr:row>
      <xdr:rowOff>209550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695325</xdr:colOff>
      <xdr:row>1</xdr:row>
      <xdr:rowOff>66675</xdr:rowOff>
    </xdr:from>
    <xdr:to>
      <xdr:col>12</xdr:col>
      <xdr:colOff>699880</xdr:colOff>
      <xdr:row>2</xdr:row>
      <xdr:rowOff>47625</xdr:rowOff>
    </xdr:to>
    <xdr:pic>
      <xdr:nvPicPr>
        <xdr:cNvPr id="2" name="Picture 1" descr="jago_logo.png"/>
        <xdr:cNvPicPr>
          <a:picLocks noChangeAspect="1"/>
        </xdr:cNvPicPr>
      </xdr:nvPicPr>
      <xdr:blipFill>
        <a:blip xmlns:r="http://schemas.openxmlformats.org/officeDocument/2006/relationships" r:embed="rId1"/>
        <a:stretch>
          <a:fillRect/>
        </a:stretch>
      </xdr:blipFill>
      <xdr:spPr>
        <a:xfrm>
          <a:off x="8743950" y="142875"/>
          <a:ext cx="795130" cy="257175"/>
        </a:xfrm>
        <a:prstGeom prst="rect">
          <a:avLst/>
        </a:prstGeom>
      </xdr:spPr>
    </xdr:pic>
    <xdr:clientData/>
  </xdr:twoCellAnchor>
  <xdr:twoCellAnchor>
    <xdr:from>
      <xdr:col>1</xdr:col>
      <xdr:colOff>19050</xdr:colOff>
      <xdr:row>10</xdr:row>
      <xdr:rowOff>19050</xdr:rowOff>
    </xdr:from>
    <xdr:to>
      <xdr:col>6</xdr:col>
      <xdr:colOff>752475</xdr:colOff>
      <xdr:row>22</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19050</xdr:colOff>
      <xdr:row>10</xdr:row>
      <xdr:rowOff>19050</xdr:rowOff>
    </xdr:from>
    <xdr:to>
      <xdr:col>12</xdr:col>
      <xdr:colOff>752475</xdr:colOff>
      <xdr:row>22</xdr:row>
      <xdr:rowOff>171450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695325</xdr:colOff>
      <xdr:row>1</xdr:row>
      <xdr:rowOff>66675</xdr:rowOff>
    </xdr:from>
    <xdr:to>
      <xdr:col>12</xdr:col>
      <xdr:colOff>699880</xdr:colOff>
      <xdr:row>2</xdr:row>
      <xdr:rowOff>47625</xdr:rowOff>
    </xdr:to>
    <xdr:pic>
      <xdr:nvPicPr>
        <xdr:cNvPr id="2" name="Picture 1" descr="jago_logo.png"/>
        <xdr:cNvPicPr>
          <a:picLocks noChangeAspect="1"/>
        </xdr:cNvPicPr>
      </xdr:nvPicPr>
      <xdr:blipFill>
        <a:blip xmlns:r="http://schemas.openxmlformats.org/officeDocument/2006/relationships" r:embed="rId1"/>
        <a:stretch>
          <a:fillRect/>
        </a:stretch>
      </xdr:blipFill>
      <xdr:spPr>
        <a:xfrm>
          <a:off x="8743950" y="142875"/>
          <a:ext cx="795130" cy="257175"/>
        </a:xfrm>
        <a:prstGeom prst="rect">
          <a:avLst/>
        </a:prstGeom>
      </xdr:spPr>
    </xdr:pic>
    <xdr:clientData/>
  </xdr:twoCellAnchor>
  <xdr:twoCellAnchor>
    <xdr:from>
      <xdr:col>7</xdr:col>
      <xdr:colOff>19050</xdr:colOff>
      <xdr:row>19</xdr:row>
      <xdr:rowOff>19050</xdr:rowOff>
    </xdr:from>
    <xdr:to>
      <xdr:col>12</xdr:col>
      <xdr:colOff>752475</xdr:colOff>
      <xdr:row>29</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276225</xdr:colOff>
      <xdr:row>1</xdr:row>
      <xdr:rowOff>66675</xdr:rowOff>
    </xdr:from>
    <xdr:to>
      <xdr:col>12</xdr:col>
      <xdr:colOff>490330</xdr:colOff>
      <xdr:row>2</xdr:row>
      <xdr:rowOff>47625</xdr:rowOff>
    </xdr:to>
    <xdr:pic>
      <xdr:nvPicPr>
        <xdr:cNvPr id="2" name="Picture 1" descr="jago_logo.png"/>
        <xdr:cNvPicPr>
          <a:picLocks noChangeAspect="1"/>
        </xdr:cNvPicPr>
      </xdr:nvPicPr>
      <xdr:blipFill>
        <a:blip xmlns:r="http://schemas.openxmlformats.org/officeDocument/2006/relationships" r:embed="rId1"/>
        <a:stretch>
          <a:fillRect/>
        </a:stretch>
      </xdr:blipFill>
      <xdr:spPr>
        <a:xfrm>
          <a:off x="9429750" y="142875"/>
          <a:ext cx="795130" cy="2571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11</xdr:col>
      <xdr:colOff>695325</xdr:colOff>
      <xdr:row>1</xdr:row>
      <xdr:rowOff>66675</xdr:rowOff>
    </xdr:from>
    <xdr:to>
      <xdr:col>12</xdr:col>
      <xdr:colOff>709405</xdr:colOff>
      <xdr:row>2</xdr:row>
      <xdr:rowOff>47625</xdr:rowOff>
    </xdr:to>
    <xdr:pic>
      <xdr:nvPicPr>
        <xdr:cNvPr id="2" name="Picture 1" descr="jago_logo.png"/>
        <xdr:cNvPicPr>
          <a:picLocks noChangeAspect="1"/>
        </xdr:cNvPicPr>
      </xdr:nvPicPr>
      <xdr:blipFill>
        <a:blip xmlns:r="http://schemas.openxmlformats.org/officeDocument/2006/relationships" r:embed="rId1"/>
        <a:stretch>
          <a:fillRect/>
        </a:stretch>
      </xdr:blipFill>
      <xdr:spPr>
        <a:xfrm>
          <a:off x="8915400" y="142875"/>
          <a:ext cx="795130" cy="257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U136"/>
  <sheetViews>
    <sheetView workbookViewId="0"/>
  </sheetViews>
  <sheetFormatPr defaultRowHeight="15"/>
  <sheetData>
    <row r="1" spans="1:21">
      <c r="U1">
        <f>MATCH('5. Tren Portofolio'!$C$9,$A$81:$A$104,0)</f>
        <v>1</v>
      </c>
    </row>
    <row r="2" spans="1:21">
      <c r="A2" t="s">
        <v>17</v>
      </c>
      <c r="U2">
        <f>MATCH('5. Tren Portofolio'!$F$9,$A$81:$A$104,0)</f>
        <v>24</v>
      </c>
    </row>
    <row r="3" spans="1:21">
      <c r="A3" t="s">
        <v>18</v>
      </c>
      <c r="B3" t="s">
        <v>19</v>
      </c>
      <c r="C3" t="s">
        <v>20</v>
      </c>
    </row>
    <row r="4" spans="1:21">
      <c r="A4" t="s">
        <v>21</v>
      </c>
      <c r="B4">
        <v>1</v>
      </c>
      <c r="C4">
        <v>0.0341</v>
      </c>
    </row>
    <row r="5" spans="1:21">
      <c r="A5" t="s">
        <v>22</v>
      </c>
      <c r="B5">
        <v>0.869</v>
      </c>
      <c r="C5">
        <v>0.0157</v>
      </c>
    </row>
    <row r="6" spans="1:21">
      <c r="A6" t="s">
        <v>23</v>
      </c>
      <c r="B6">
        <v>0.835</v>
      </c>
      <c r="C6">
        <v>0</v>
      </c>
    </row>
    <row r="7" spans="1:21">
      <c r="A7" t="s">
        <v>24</v>
      </c>
      <c r="B7">
        <v>0.782</v>
      </c>
      <c r="C7">
        <v>0</v>
      </c>
    </row>
    <row r="8" spans="1:21">
      <c r="A8" t="s">
        <v>25</v>
      </c>
      <c r="B8">
        <v>0.729</v>
      </c>
      <c r="C8">
        <v>0</v>
      </c>
    </row>
    <row r="11" spans="1:21">
      <c r="A11" t="s">
        <v>26</v>
      </c>
    </row>
    <row r="12" spans="1:21">
      <c r="A12" t="s">
        <v>27</v>
      </c>
      <c r="B12" t="s">
        <v>28</v>
      </c>
    </row>
    <row r="13" spans="1:21">
      <c r="A13" t="s">
        <v>29</v>
      </c>
      <c r="B13">
        <v>0.09719999999999999</v>
      </c>
    </row>
    <row r="14" spans="1:21">
      <c r="A14" t="s">
        <v>29</v>
      </c>
      <c r="B14">
        <v>0.0944</v>
      </c>
    </row>
    <row r="15" spans="1:21">
      <c r="A15" t="s">
        <v>30</v>
      </c>
      <c r="B15">
        <v>0.0968</v>
      </c>
    </row>
    <row r="16" spans="1:21">
      <c r="A16" t="s">
        <v>29</v>
      </c>
      <c r="B16">
        <v>0.09320000000000001</v>
      </c>
    </row>
    <row r="17" spans="1:2">
      <c r="A17" t="s">
        <v>29</v>
      </c>
      <c r="B17">
        <v>0.09089999999999999</v>
      </c>
    </row>
    <row r="18" spans="1:2">
      <c r="A18" t="s">
        <v>31</v>
      </c>
      <c r="B18">
        <v>0.1014</v>
      </c>
    </row>
    <row r="19" spans="1:2">
      <c r="A19" t="s">
        <v>29</v>
      </c>
      <c r="B19">
        <v>0.1095</v>
      </c>
    </row>
    <row r="20" spans="1:2">
      <c r="A20" t="s">
        <v>29</v>
      </c>
      <c r="B20">
        <v>0.1042</v>
      </c>
    </row>
    <row r="21" spans="1:2">
      <c r="A21" t="s">
        <v>32</v>
      </c>
      <c r="B21">
        <v>0.1052</v>
      </c>
    </row>
    <row r="22" spans="1:2">
      <c r="A22" t="s">
        <v>29</v>
      </c>
      <c r="B22">
        <v>0.1059</v>
      </c>
    </row>
    <row r="23" spans="1:2">
      <c r="A23" t="s">
        <v>29</v>
      </c>
      <c r="B23">
        <v>0.0985</v>
      </c>
    </row>
    <row r="24" spans="1:2">
      <c r="A24" t="s">
        <v>33</v>
      </c>
      <c r="B24">
        <v>0.0956</v>
      </c>
    </row>
    <row r="25" spans="1:2">
      <c r="A25" t="s">
        <v>29</v>
      </c>
      <c r="B25">
        <v>0.0987</v>
      </c>
    </row>
    <row r="26" spans="1:2">
      <c r="A26" t="s">
        <v>29</v>
      </c>
      <c r="B26">
        <v>0.1017</v>
      </c>
    </row>
    <row r="27" spans="1:2">
      <c r="A27" t="s">
        <v>34</v>
      </c>
      <c r="B27">
        <v>0.1071</v>
      </c>
    </row>
    <row r="28" spans="1:2">
      <c r="A28" t="s">
        <v>29</v>
      </c>
      <c r="B28">
        <v>0.1121</v>
      </c>
    </row>
    <row r="29" spans="1:2">
      <c r="A29" t="s">
        <v>29</v>
      </c>
      <c r="B29">
        <v>0.1093</v>
      </c>
    </row>
    <row r="30" spans="1:2">
      <c r="A30" t="s">
        <v>35</v>
      </c>
      <c r="B30">
        <v>0.1172</v>
      </c>
    </row>
    <row r="31" spans="1:2">
      <c r="A31" t="s">
        <v>29</v>
      </c>
      <c r="B31">
        <v>0.1131</v>
      </c>
    </row>
    <row r="32" spans="1:2">
      <c r="A32" t="s">
        <v>29</v>
      </c>
      <c r="B32">
        <v>0.1162</v>
      </c>
    </row>
    <row r="33" spans="1:5">
      <c r="A33" t="s">
        <v>36</v>
      </c>
      <c r="B33">
        <v>0.1167</v>
      </c>
    </row>
    <row r="34" spans="1:5">
      <c r="A34" t="s">
        <v>29</v>
      </c>
      <c r="B34">
        <v>0.1152</v>
      </c>
    </row>
    <row r="35" spans="1:5">
      <c r="A35" t="s">
        <v>29</v>
      </c>
      <c r="B35">
        <v>0.1241</v>
      </c>
    </row>
    <row r="36" spans="1:5">
      <c r="A36" t="s">
        <v>37</v>
      </c>
      <c r="B36">
        <v>0.1165</v>
      </c>
    </row>
    <row r="39" spans="1:5">
      <c r="A39" t="s">
        <v>71</v>
      </c>
    </row>
    <row r="40" spans="1:5">
      <c r="A40" t="s">
        <v>72</v>
      </c>
      <c r="B40" t="s">
        <v>73</v>
      </c>
      <c r="C40" t="s">
        <v>74</v>
      </c>
      <c r="D40" t="s">
        <v>75</v>
      </c>
      <c r="E40" t="s">
        <v>76</v>
      </c>
    </row>
    <row r="41" spans="1:5">
      <c r="A41" t="s">
        <v>77</v>
      </c>
      <c r="B41">
        <v>0</v>
      </c>
      <c r="C41">
        <v>0.0164</v>
      </c>
      <c r="D41">
        <v>0.9836</v>
      </c>
      <c r="E41">
        <v>0</v>
      </c>
    </row>
    <row r="42" spans="1:5">
      <c r="A42" t="s">
        <v>78</v>
      </c>
      <c r="B42">
        <v>0.5625</v>
      </c>
      <c r="C42">
        <v>0.3125</v>
      </c>
      <c r="D42">
        <v>0.125</v>
      </c>
      <c r="E42">
        <v>0</v>
      </c>
    </row>
    <row r="43" spans="1:5">
      <c r="A43" t="s">
        <v>79</v>
      </c>
      <c r="B43">
        <v>0.8647</v>
      </c>
      <c r="C43">
        <v>0.0902</v>
      </c>
      <c r="D43">
        <v>0.0255</v>
      </c>
      <c r="E43">
        <v>0.0196</v>
      </c>
    </row>
    <row r="46" spans="1:5">
      <c r="A46" t="s">
        <v>114</v>
      </c>
    </row>
    <row r="47" spans="1:5">
      <c r="A47" t="s">
        <v>18</v>
      </c>
      <c r="B47" t="s">
        <v>115</v>
      </c>
      <c r="C47" t="s">
        <v>20</v>
      </c>
      <c r="D47" t="s">
        <v>116</v>
      </c>
    </row>
    <row r="48" spans="1:5">
      <c r="A48" t="s">
        <v>117</v>
      </c>
      <c r="B48">
        <v>17.7</v>
      </c>
      <c r="C48">
        <v>0</v>
      </c>
      <c r="D48">
        <v>426</v>
      </c>
    </row>
    <row r="49" spans="1:4">
      <c r="A49" t="s">
        <v>118</v>
      </c>
      <c r="B49">
        <v>34.8</v>
      </c>
      <c r="C49">
        <v>0</v>
      </c>
      <c r="D49">
        <v>64</v>
      </c>
    </row>
    <row r="50" spans="1:4">
      <c r="A50" t="s">
        <v>119</v>
      </c>
      <c r="B50">
        <v>28.3</v>
      </c>
      <c r="C50">
        <v>0</v>
      </c>
      <c r="D50">
        <v>14</v>
      </c>
    </row>
    <row r="51" spans="1:4">
      <c r="A51" t="s">
        <v>120</v>
      </c>
      <c r="B51">
        <v>64.2</v>
      </c>
      <c r="C51">
        <v>0.455</v>
      </c>
      <c r="D51">
        <v>22</v>
      </c>
    </row>
    <row r="52" spans="1:4">
      <c r="A52" t="s">
        <v>121</v>
      </c>
      <c r="B52">
        <v>50.4</v>
      </c>
      <c r="C52">
        <v>0.164</v>
      </c>
      <c r="D52">
        <v>61</v>
      </c>
    </row>
    <row r="55" spans="1:4">
      <c r="A55" t="s">
        <v>132</v>
      </c>
    </row>
    <row r="56" spans="1:4">
      <c r="A56" t="s">
        <v>18</v>
      </c>
      <c r="B56" t="s">
        <v>133</v>
      </c>
      <c r="C56" t="s">
        <v>134</v>
      </c>
    </row>
    <row r="57" spans="1:4">
      <c r="A57" t="s">
        <v>135</v>
      </c>
      <c r="B57">
        <v>0.271</v>
      </c>
      <c r="C57">
        <v>0.068</v>
      </c>
    </row>
    <row r="58" spans="1:4">
      <c r="A58" t="s">
        <v>136</v>
      </c>
      <c r="B58">
        <v>0.288</v>
      </c>
      <c r="C58">
        <v>0.068</v>
      </c>
    </row>
    <row r="59" spans="1:4">
      <c r="A59" t="s">
        <v>137</v>
      </c>
      <c r="B59">
        <v>0.259</v>
      </c>
      <c r="C59">
        <v>0.08599999999999999</v>
      </c>
    </row>
    <row r="60" spans="1:4">
      <c r="A60" t="s">
        <v>138</v>
      </c>
      <c r="B60">
        <v>0.136</v>
      </c>
      <c r="C60">
        <v>0.017</v>
      </c>
    </row>
    <row r="61" spans="1:4">
      <c r="A61" t="s">
        <v>139</v>
      </c>
      <c r="B61">
        <v>0.119</v>
      </c>
      <c r="C61">
        <v>0.034</v>
      </c>
    </row>
    <row r="62" spans="1:4">
      <c r="A62" t="s">
        <v>140</v>
      </c>
      <c r="B62">
        <v>0.06900000000000001</v>
      </c>
      <c r="C62">
        <v>0</v>
      </c>
    </row>
    <row r="63" spans="1:4">
      <c r="A63" t="s">
        <v>141</v>
      </c>
      <c r="B63">
        <v>0.068</v>
      </c>
      <c r="C63">
        <v>0.034</v>
      </c>
    </row>
    <row r="64" spans="1:4">
      <c r="A64" t="s">
        <v>142</v>
      </c>
      <c r="B64">
        <v>0.08599999999999999</v>
      </c>
      <c r="C64">
        <v>0.017</v>
      </c>
    </row>
    <row r="65" spans="1:7">
      <c r="A65" t="s">
        <v>143</v>
      </c>
      <c r="B65">
        <v>0.068</v>
      </c>
      <c r="C65">
        <v>0.017</v>
      </c>
    </row>
    <row r="66" spans="1:7">
      <c r="A66" t="s">
        <v>144</v>
      </c>
      <c r="B66">
        <v>0.034</v>
      </c>
      <c r="C66">
        <v>0</v>
      </c>
    </row>
    <row r="69" spans="1:7">
      <c r="A69" t="s">
        <v>163</v>
      </c>
    </row>
    <row r="70" spans="1:7">
      <c r="A70" t="s">
        <v>164</v>
      </c>
      <c r="B70" t="s">
        <v>165</v>
      </c>
      <c r="C70" t="s">
        <v>166</v>
      </c>
    </row>
    <row r="71" spans="1:7">
      <c r="A71" t="s">
        <v>167</v>
      </c>
      <c r="B71">
        <v>107</v>
      </c>
      <c r="C71">
        <v>60</v>
      </c>
    </row>
    <row r="72" spans="1:7">
      <c r="A72" t="s">
        <v>168</v>
      </c>
      <c r="B72">
        <v>25</v>
      </c>
      <c r="C72">
        <v>176</v>
      </c>
    </row>
    <row r="73" spans="1:7">
      <c r="A73" t="s">
        <v>169</v>
      </c>
      <c r="B73">
        <v>60</v>
      </c>
      <c r="C73">
        <v>185</v>
      </c>
    </row>
    <row r="74" spans="1:7">
      <c r="A74" t="s">
        <v>170</v>
      </c>
      <c r="B74">
        <v>98</v>
      </c>
      <c r="C74">
        <v>110</v>
      </c>
    </row>
    <row r="75" spans="1:7">
      <c r="A75" t="s">
        <v>171</v>
      </c>
      <c r="B75">
        <v>122</v>
      </c>
      <c r="C75">
        <v>43</v>
      </c>
    </row>
    <row r="76" spans="1:7">
      <c r="A76" t="s">
        <v>172</v>
      </c>
      <c r="B76">
        <v>175</v>
      </c>
      <c r="C76">
        <v>13</v>
      </c>
    </row>
    <row r="79" spans="1:7">
      <c r="A79" t="s">
        <v>183</v>
      </c>
    </row>
    <row r="80" spans="1:7">
      <c r="A80" t="s">
        <v>27</v>
      </c>
      <c r="B80" t="s">
        <v>184</v>
      </c>
      <c r="C80" t="s">
        <v>185</v>
      </c>
      <c r="D80" t="s">
        <v>186</v>
      </c>
      <c r="E80" t="s">
        <v>187</v>
      </c>
      <c r="F80" t="s">
        <v>188</v>
      </c>
      <c r="G80" t="s">
        <v>189</v>
      </c>
    </row>
    <row r="81" spans="1:7">
      <c r="A81" t="s">
        <v>180</v>
      </c>
      <c r="B81">
        <v>1</v>
      </c>
      <c r="C81">
        <v>0.09719999999999999</v>
      </c>
      <c r="D81">
        <v>26.9</v>
      </c>
      <c r="E81">
        <f>IF(AND($B81&gt;=$U$1,$B81&lt;=$U$2),$C81,NA())</f>
        <v>0.0972</v>
      </c>
      <c r="F81">
        <f>IF(AND($B81&gt;=$U$1,$B81&lt;=$U$2),$D81,NA())</f>
        <v>26.9</v>
      </c>
      <c r="G81" t="s">
        <v>29</v>
      </c>
    </row>
    <row r="82" spans="1:7">
      <c r="A82" t="s">
        <v>190</v>
      </c>
      <c r="B82">
        <v>2</v>
      </c>
      <c r="C82">
        <v>0.0944</v>
      </c>
      <c r="D82">
        <v>24</v>
      </c>
      <c r="E82">
        <f>IF(AND($B82&gt;=$U$1,$B82&lt;=$U$2),$C82,NA())</f>
        <v>0.0944</v>
      </c>
      <c r="F82">
        <f>IF(AND($B82&gt;=$U$1,$B82&lt;=$U$2),$D82,NA())</f>
        <v>24.0</v>
      </c>
      <c r="G82" t="s">
        <v>29</v>
      </c>
    </row>
    <row r="83" spans="1:7">
      <c r="A83" t="s">
        <v>30</v>
      </c>
      <c r="B83">
        <v>3</v>
      </c>
      <c r="C83">
        <v>0.0968</v>
      </c>
      <c r="D83">
        <v>22.5</v>
      </c>
      <c r="E83">
        <f>IF(AND($B83&gt;=$U$1,$B83&lt;=$U$2),$C83,NA())</f>
        <v>0.0968</v>
      </c>
      <c r="F83">
        <f>IF(AND($B83&gt;=$U$1,$B83&lt;=$U$2),$D83,NA())</f>
        <v>22.5</v>
      </c>
      <c r="G83" t="s">
        <v>30</v>
      </c>
    </row>
    <row r="84" spans="1:7">
      <c r="A84" t="s">
        <v>191</v>
      </c>
      <c r="B84">
        <v>4</v>
      </c>
      <c r="C84">
        <v>0.09320000000000001</v>
      </c>
      <c r="D84">
        <v>21.6</v>
      </c>
      <c r="E84">
        <f>IF(AND($B84&gt;=$U$1,$B84&lt;=$U$2),$C84,NA())</f>
        <v>0.0932</v>
      </c>
      <c r="F84">
        <f>IF(AND($B84&gt;=$U$1,$B84&lt;=$U$2),$D84,NA())</f>
        <v>21.6</v>
      </c>
      <c r="G84" t="s">
        <v>29</v>
      </c>
    </row>
    <row r="85" spans="1:7">
      <c r="A85" t="s">
        <v>192</v>
      </c>
      <c r="B85">
        <v>5</v>
      </c>
      <c r="C85">
        <v>0.09089999999999999</v>
      </c>
      <c r="D85">
        <v>19.5</v>
      </c>
      <c r="E85">
        <f>IF(AND($B85&gt;=$U$1,$B85&lt;=$U$2),$C85,NA())</f>
        <v>0.0909</v>
      </c>
      <c r="F85">
        <f>IF(AND($B85&gt;=$U$1,$B85&lt;=$U$2),$D85,NA())</f>
        <v>19.5</v>
      </c>
      <c r="G85" t="s">
        <v>29</v>
      </c>
    </row>
    <row r="86" spans="1:7">
      <c r="A86" t="s">
        <v>31</v>
      </c>
      <c r="B86">
        <v>6</v>
      </c>
      <c r="C86">
        <v>0.1014</v>
      </c>
      <c r="D86">
        <v>20.6</v>
      </c>
      <c r="E86">
        <f>IF(AND($B86&gt;=$U$1,$B86&lt;=$U$2),$C86,NA())</f>
        <v>0.1014</v>
      </c>
      <c r="F86">
        <f>IF(AND($B86&gt;=$U$1,$B86&lt;=$U$2),$D86,NA())</f>
        <v>20.6</v>
      </c>
      <c r="G86" t="s">
        <v>31</v>
      </c>
    </row>
    <row r="87" spans="1:7">
      <c r="A87" t="s">
        <v>193</v>
      </c>
      <c r="B87">
        <v>7</v>
      </c>
      <c r="C87">
        <v>0.1095</v>
      </c>
      <c r="D87">
        <v>20.8</v>
      </c>
      <c r="E87">
        <f>IF(AND($B87&gt;=$U$1,$B87&lt;=$U$2),$C87,NA())</f>
        <v>0.1095</v>
      </c>
      <c r="F87">
        <f>IF(AND($B87&gt;=$U$1,$B87&lt;=$U$2),$D87,NA())</f>
        <v>20.8</v>
      </c>
      <c r="G87" t="s">
        <v>29</v>
      </c>
    </row>
    <row r="88" spans="1:7">
      <c r="A88" t="s">
        <v>194</v>
      </c>
      <c r="B88">
        <v>8</v>
      </c>
      <c r="C88">
        <v>0.1042</v>
      </c>
      <c r="D88">
        <v>20.4</v>
      </c>
      <c r="E88">
        <f>IF(AND($B88&gt;=$U$1,$B88&lt;=$U$2),$C88,NA())</f>
        <v>0.1042</v>
      </c>
      <c r="F88">
        <f>IF(AND($B88&gt;=$U$1,$B88&lt;=$U$2),$D88,NA())</f>
        <v>20.4</v>
      </c>
      <c r="G88" t="s">
        <v>29</v>
      </c>
    </row>
    <row r="89" spans="1:7">
      <c r="A89" t="s">
        <v>32</v>
      </c>
      <c r="B89">
        <v>9</v>
      </c>
      <c r="C89">
        <v>0.1052</v>
      </c>
      <c r="D89">
        <v>21.1</v>
      </c>
      <c r="E89">
        <f>IF(AND($B89&gt;=$U$1,$B89&lt;=$U$2),$C89,NA())</f>
        <v>0.1052</v>
      </c>
      <c r="F89">
        <f>IF(AND($B89&gt;=$U$1,$B89&lt;=$U$2),$D89,NA())</f>
        <v>21.1</v>
      </c>
      <c r="G89" t="s">
        <v>32</v>
      </c>
    </row>
    <row r="90" spans="1:7">
      <c r="A90" t="s">
        <v>195</v>
      </c>
      <c r="B90">
        <v>10</v>
      </c>
      <c r="C90">
        <v>0.1059</v>
      </c>
      <c r="D90">
        <v>23.5</v>
      </c>
      <c r="E90">
        <f>IF(AND($B90&gt;=$U$1,$B90&lt;=$U$2),$C90,NA())</f>
        <v>0.1059</v>
      </c>
      <c r="F90">
        <f>IF(AND($B90&gt;=$U$1,$B90&lt;=$U$2),$D90,NA())</f>
        <v>23.5</v>
      </c>
      <c r="G90" t="s">
        <v>29</v>
      </c>
    </row>
    <row r="91" spans="1:7">
      <c r="A91" t="s">
        <v>196</v>
      </c>
      <c r="B91">
        <v>11</v>
      </c>
      <c r="C91">
        <v>0.0985</v>
      </c>
      <c r="D91">
        <v>26.3</v>
      </c>
      <c r="E91">
        <f>IF(AND($B91&gt;=$U$1,$B91&lt;=$U$2),$C91,NA())</f>
        <v>0.0985</v>
      </c>
      <c r="F91">
        <f>IF(AND($B91&gt;=$U$1,$B91&lt;=$U$2),$D91,NA())</f>
        <v>26.3</v>
      </c>
      <c r="G91" t="s">
        <v>29</v>
      </c>
    </row>
    <row r="92" spans="1:7">
      <c r="A92" t="s">
        <v>33</v>
      </c>
      <c r="B92">
        <v>12</v>
      </c>
      <c r="C92">
        <v>0.0956</v>
      </c>
      <c r="D92">
        <v>32.6</v>
      </c>
      <c r="E92">
        <f>IF(AND($B92&gt;=$U$1,$B92&lt;=$U$2),$C92,NA())</f>
        <v>0.0956</v>
      </c>
      <c r="F92">
        <f>IF(AND($B92&gt;=$U$1,$B92&lt;=$U$2),$D92,NA())</f>
        <v>32.6</v>
      </c>
      <c r="G92" t="s">
        <v>33</v>
      </c>
    </row>
    <row r="93" spans="1:7">
      <c r="A93" t="s">
        <v>197</v>
      </c>
      <c r="B93">
        <v>13</v>
      </c>
      <c r="C93">
        <v>0.0987</v>
      </c>
      <c r="D93">
        <v>36.1</v>
      </c>
      <c r="E93">
        <f>IF(AND($B93&gt;=$U$1,$B93&lt;=$U$2),$C93,NA())</f>
        <v>0.0987</v>
      </c>
      <c r="F93">
        <f>IF(AND($B93&gt;=$U$1,$B93&lt;=$U$2),$D93,NA())</f>
        <v>36.1</v>
      </c>
      <c r="G93" t="s">
        <v>29</v>
      </c>
    </row>
    <row r="94" spans="1:7">
      <c r="A94" t="s">
        <v>198</v>
      </c>
      <c r="B94">
        <v>14</v>
      </c>
      <c r="C94">
        <v>0.1017</v>
      </c>
      <c r="D94">
        <v>34.4</v>
      </c>
      <c r="E94">
        <f>IF(AND($B94&gt;=$U$1,$B94&lt;=$U$2),$C94,NA())</f>
        <v>0.1017</v>
      </c>
      <c r="F94">
        <f>IF(AND($B94&gt;=$U$1,$B94&lt;=$U$2),$D94,NA())</f>
        <v>34.4</v>
      </c>
      <c r="G94" t="s">
        <v>29</v>
      </c>
    </row>
    <row r="95" spans="1:7">
      <c r="A95" t="s">
        <v>34</v>
      </c>
      <c r="B95">
        <v>15</v>
      </c>
      <c r="C95">
        <v>0.1071</v>
      </c>
      <c r="D95">
        <v>35.1</v>
      </c>
      <c r="E95">
        <f>IF(AND($B95&gt;=$U$1,$B95&lt;=$U$2),$C95,NA())</f>
        <v>0.1071</v>
      </c>
      <c r="F95">
        <f>IF(AND($B95&gt;=$U$1,$B95&lt;=$U$2),$D95,NA())</f>
        <v>35.1</v>
      </c>
      <c r="G95" t="s">
        <v>34</v>
      </c>
    </row>
    <row r="96" spans="1:7">
      <c r="A96" t="s">
        <v>199</v>
      </c>
      <c r="B96">
        <v>16</v>
      </c>
      <c r="C96">
        <v>0.1121</v>
      </c>
      <c r="D96">
        <v>36.1</v>
      </c>
      <c r="E96">
        <f>IF(AND($B96&gt;=$U$1,$B96&lt;=$U$2),$C96,NA())</f>
        <v>0.1121</v>
      </c>
      <c r="F96">
        <f>IF(AND($B96&gt;=$U$1,$B96&lt;=$U$2),$D96,NA())</f>
        <v>36.1</v>
      </c>
      <c r="G96" t="s">
        <v>29</v>
      </c>
    </row>
    <row r="97" spans="1:7">
      <c r="A97" t="s">
        <v>200</v>
      </c>
      <c r="B97">
        <v>17</v>
      </c>
      <c r="C97">
        <v>0.1093</v>
      </c>
      <c r="D97">
        <v>36.6</v>
      </c>
      <c r="E97">
        <f>IF(AND($B97&gt;=$U$1,$B97&lt;=$U$2),$C97,NA())</f>
        <v>0.1093</v>
      </c>
      <c r="F97">
        <f>IF(AND($B97&gt;=$U$1,$B97&lt;=$U$2),$D97,NA())</f>
        <v>36.6</v>
      </c>
      <c r="G97" t="s">
        <v>29</v>
      </c>
    </row>
    <row r="98" spans="1:7">
      <c r="A98" t="s">
        <v>35</v>
      </c>
      <c r="B98">
        <v>18</v>
      </c>
      <c r="C98">
        <v>0.1172</v>
      </c>
      <c r="D98">
        <v>38.7</v>
      </c>
      <c r="E98">
        <f>IF(AND($B98&gt;=$U$1,$B98&lt;=$U$2),$C98,NA())</f>
        <v>0.1172</v>
      </c>
      <c r="F98">
        <f>IF(AND($B98&gt;=$U$1,$B98&lt;=$U$2),$D98,NA())</f>
        <v>38.7</v>
      </c>
      <c r="G98" t="s">
        <v>35</v>
      </c>
    </row>
    <row r="99" spans="1:7">
      <c r="A99" t="s">
        <v>201</v>
      </c>
      <c r="B99">
        <v>19</v>
      </c>
      <c r="C99">
        <v>0.1131</v>
      </c>
      <c r="D99">
        <v>37.7</v>
      </c>
      <c r="E99">
        <f>IF(AND($B99&gt;=$U$1,$B99&lt;=$U$2),$C99,NA())</f>
        <v>0.1131</v>
      </c>
      <c r="F99">
        <f>IF(AND($B99&gt;=$U$1,$B99&lt;=$U$2),$D99,NA())</f>
        <v>37.7</v>
      </c>
      <c r="G99" t="s">
        <v>29</v>
      </c>
    </row>
    <row r="100" spans="1:7">
      <c r="A100" t="s">
        <v>202</v>
      </c>
      <c r="B100">
        <v>20</v>
      </c>
      <c r="C100">
        <v>0.1162</v>
      </c>
      <c r="D100">
        <v>38.3</v>
      </c>
      <c r="E100">
        <f>IF(AND($B100&gt;=$U$1,$B100&lt;=$U$2),$C100,NA())</f>
        <v>0.1162</v>
      </c>
      <c r="F100">
        <f>IF(AND($B100&gt;=$U$1,$B100&lt;=$U$2),$D100,NA())</f>
        <v>38.3</v>
      </c>
      <c r="G100" t="s">
        <v>29</v>
      </c>
    </row>
    <row r="101" spans="1:7">
      <c r="A101" t="s">
        <v>36</v>
      </c>
      <c r="B101">
        <v>21</v>
      </c>
      <c r="C101">
        <v>0.1167</v>
      </c>
      <c r="D101">
        <v>41.2</v>
      </c>
      <c r="E101">
        <f>IF(AND($B101&gt;=$U$1,$B101&lt;=$U$2),$C101,NA())</f>
        <v>0.1167</v>
      </c>
      <c r="F101">
        <f>IF(AND($B101&gt;=$U$1,$B101&lt;=$U$2),$D101,NA())</f>
        <v>41.2</v>
      </c>
      <c r="G101" t="s">
        <v>36</v>
      </c>
    </row>
    <row r="102" spans="1:7">
      <c r="A102" t="s">
        <v>203</v>
      </c>
      <c r="B102">
        <v>22</v>
      </c>
      <c r="C102">
        <v>0.1152</v>
      </c>
      <c r="D102">
        <v>40.8</v>
      </c>
      <c r="E102">
        <f>IF(AND($B102&gt;=$U$1,$B102&lt;=$U$2),$C102,NA())</f>
        <v>0.1152</v>
      </c>
      <c r="F102">
        <f>IF(AND($B102&gt;=$U$1,$B102&lt;=$U$2),$D102,NA())</f>
        <v>40.8</v>
      </c>
      <c r="G102" t="s">
        <v>29</v>
      </c>
    </row>
    <row r="103" spans="1:7">
      <c r="A103" t="s">
        <v>204</v>
      </c>
      <c r="B103">
        <v>23</v>
      </c>
      <c r="C103">
        <v>0.1241</v>
      </c>
      <c r="D103">
        <v>42.2</v>
      </c>
      <c r="E103">
        <f>IF(AND($B103&gt;=$U$1,$B103&lt;=$U$2),$C103,NA())</f>
        <v>0.1241</v>
      </c>
      <c r="F103">
        <f>IF(AND($B103&gt;=$U$1,$B103&lt;=$U$2),$D103,NA())</f>
        <v>42.2</v>
      </c>
      <c r="G103" t="s">
        <v>29</v>
      </c>
    </row>
    <row r="104" spans="1:7">
      <c r="A104" t="s">
        <v>37</v>
      </c>
      <c r="B104">
        <v>24</v>
      </c>
      <c r="C104">
        <v>0.1165</v>
      </c>
      <c r="D104">
        <v>51.8</v>
      </c>
      <c r="E104">
        <f>IF(AND($B104&gt;=$U$1,$B104&lt;=$U$2),$C104,NA())</f>
        <v>0.1165</v>
      </c>
      <c r="F104">
        <f>IF(AND($B104&gt;=$U$1,$B104&lt;=$U$2),$D104,NA())</f>
        <v>51.8</v>
      </c>
      <c r="G104" t="s">
        <v>37</v>
      </c>
    </row>
    <row r="108" spans="1:7">
      <c r="A108" t="s">
        <v>229</v>
      </c>
    </row>
    <row r="109" spans="1:7">
      <c r="A109" t="s">
        <v>18</v>
      </c>
      <c r="B109" t="s">
        <v>230</v>
      </c>
    </row>
    <row r="110" spans="1:7">
      <c r="A110" t="s">
        <v>231</v>
      </c>
      <c r="B110">
        <v>0.1277</v>
      </c>
    </row>
    <row r="111" spans="1:7">
      <c r="A111" t="s">
        <v>232</v>
      </c>
      <c r="B111">
        <v>0.1033</v>
      </c>
    </row>
    <row r="112" spans="1:7">
      <c r="A112" t="s">
        <v>233</v>
      </c>
      <c r="B112">
        <v>0.1301</v>
      </c>
    </row>
    <row r="113" spans="1:2">
      <c r="A113" t="s">
        <v>234</v>
      </c>
      <c r="B113">
        <v>0.1852</v>
      </c>
    </row>
    <row r="114" spans="1:2">
      <c r="A114" t="s">
        <v>235</v>
      </c>
      <c r="B114">
        <v>0.16</v>
      </c>
    </row>
    <row r="115" spans="1:2">
      <c r="A115" t="s">
        <v>236</v>
      </c>
      <c r="B115">
        <v>0.1389</v>
      </c>
    </row>
    <row r="116" spans="1:2">
      <c r="A116" t="s">
        <v>237</v>
      </c>
      <c r="B116">
        <v>0.3077</v>
      </c>
    </row>
    <row r="117" spans="1:2">
      <c r="A117" t="s">
        <v>238</v>
      </c>
      <c r="B117">
        <v>0.0769</v>
      </c>
    </row>
    <row r="118" spans="1:2">
      <c r="A118" t="s">
        <v>239</v>
      </c>
      <c r="B118">
        <v>0</v>
      </c>
    </row>
    <row r="121" spans="1:2">
      <c r="A121" t="s">
        <v>240</v>
      </c>
    </row>
    <row r="122" spans="1:2">
      <c r="A122" t="s">
        <v>18</v>
      </c>
      <c r="B122" t="s">
        <v>230</v>
      </c>
    </row>
    <row r="123" spans="1:2">
      <c r="A123" t="s">
        <v>241</v>
      </c>
      <c r="B123">
        <v>0.0588</v>
      </c>
    </row>
    <row r="124" spans="1:2">
      <c r="A124" t="s">
        <v>242</v>
      </c>
      <c r="B124">
        <v>0.1133</v>
      </c>
    </row>
    <row r="125" spans="1:2">
      <c r="A125" t="s">
        <v>243</v>
      </c>
      <c r="B125">
        <v>0.1304</v>
      </c>
    </row>
    <row r="126" spans="1:2">
      <c r="A126" t="s">
        <v>244</v>
      </c>
      <c r="B126">
        <v>0.1579</v>
      </c>
    </row>
    <row r="127" spans="1:2">
      <c r="A127" t="s">
        <v>245</v>
      </c>
      <c r="B127">
        <v>0.195</v>
      </c>
    </row>
    <row r="130" spans="1:2">
      <c r="A130" t="s">
        <v>300</v>
      </c>
    </row>
    <row r="131" spans="1:2">
      <c r="A131" t="s">
        <v>18</v>
      </c>
      <c r="B131" t="s">
        <v>19</v>
      </c>
    </row>
    <row r="132" spans="1:2">
      <c r="A132" t="s">
        <v>117</v>
      </c>
      <c r="B132">
        <f>SUMPRODUCT((('data_customer'!$B$2:$B$588='7. Simulasi Kebijakan'!$B$10)+('7. Simulasi Kebijakan'!$B$10="Semua")&gt;0)*('data_customer'!$H$2:$H$588&lt;='7. Simulasi Kebijakan'!$E$10)*('data_customer'!$I$2:$I$588&lt;='7. Simulasi Kebijakan'!$H$10)*(('data_customer'!$C$2:$C$588='7. Simulasi Kebijakan'!$K$10)+('7. Simulasi Kebijakan'!$K$10="Semua")&gt;0)*('data_customer'!$C$2:$C$588="A. Clean &amp; Current"))</f>
        <v>426</v>
      </c>
    </row>
    <row r="133" spans="1:2">
      <c r="A133" t="s">
        <v>118</v>
      </c>
      <c r="B133">
        <f>SUMPRODUCT((('data_customer'!$B$2:$B$588='7. Simulasi Kebijakan'!$B$10)+('7. Simulasi Kebijakan'!$B$10="Semua")&gt;0)*('data_customer'!$H$2:$H$588&lt;='7. Simulasi Kebijakan'!$E$10)*('data_customer'!$I$2:$I$588&lt;='7. Simulasi Kebijakan'!$H$10)*(('data_customer'!$C$2:$C$588='7. Simulasi Kebijakan'!$K$10)+('7. Simulasi Kebijakan'!$K$10="Semua")&gt;0)*('data_customer'!$C$2:$C$588="B. Past Due Ringan"))</f>
        <v>64</v>
      </c>
    </row>
    <row r="134" spans="1:2">
      <c r="A134" t="s">
        <v>119</v>
      </c>
      <c r="B134">
        <f>SUMPRODUCT((('data_customer'!$B$2:$B$588='7. Simulasi Kebijakan'!$B$10)+('7. Simulasi Kebijakan'!$B$10="Semua")&gt;0)*('data_customer'!$H$2:$H$588&lt;='7. Simulasi Kebijakan'!$E$10)*('data_customer'!$I$2:$I$588&lt;='7. Simulasi Kebijakan'!$H$10)*(('data_customer'!$C$2:$C$588='7. Simulasi Kebijakan'!$K$10)+('7. Simulasi Kebijakan'!$K$10="Semua")&gt;0)*('data_customer'!$C$2:$C$588="C. Restructured"))</f>
        <v>0</v>
      </c>
    </row>
    <row r="135" spans="1:2">
      <c r="A135" t="s">
        <v>120</v>
      </c>
      <c r="B135">
        <f>SUMPRODUCT((('data_customer'!$B$2:$B$588='7. Simulasi Kebijakan'!$B$10)+('7. Simulasi Kebijakan'!$B$10="Semua")&gt;0)*('data_customer'!$H$2:$H$588&lt;='7. Simulasi Kebijakan'!$E$10)*('data_customer'!$I$2:$I$588&lt;='7. Simulasi Kebijakan'!$H$10)*(('data_customer'!$C$2:$C$588='7. Simulasi Kebijakan'!$K$10)+('7. Simulasi Kebijakan'!$K$10="Semua")&gt;0)*('data_customer'!$C$2:$C$588="D. NPL / Delinquent"))</f>
        <v>0</v>
      </c>
    </row>
    <row r="136" spans="1:2">
      <c r="A136" t="s">
        <v>121</v>
      </c>
      <c r="B136">
        <f>SUMPRODUCT((('data_customer'!$B$2:$B$588='7. Simulasi Kebijakan'!$B$10)+('7. Simulasi Kebijakan'!$B$10="Semua")&gt;0)*('data_customer'!$H$2:$H$588&lt;='7. Simulasi Kebijakan'!$E$10)*('data_customer'!$I$2:$I$588&lt;='7. Simulasi Kebijakan'!$H$10)*(('data_customer'!$C$2:$C$588='7. Simulasi Kebijakan'!$K$10)+('7. Simulasi Kebijakan'!$K$10="Semua")&gt;0)*('data_customer'!$C$2:$C$588="E. Writeoff"))</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FDAF27"/>
    <pageSetUpPr fitToPage="1"/>
  </sheetPr>
  <dimension ref="A1:AO34"/>
  <sheetViews>
    <sheetView showGridLines="0" tabSelected="1" zoomScale="85" zoomScaleNormal="85" workbookViewId="0"/>
  </sheetViews>
  <sheetFormatPr defaultRowHeight="15"/>
  <cols>
    <col min="1" max="1" width="2.140625" style="1" customWidth="1"/>
    <col min="2" max="13" width="11.85546875" style="1" customWidth="1"/>
    <col min="14" max="41" width="2.140625" style="1" customWidth="1"/>
  </cols>
  <sheetData>
    <row r="1" spans="2:13" ht="6" customHeight="1"/>
    <row r="2" spans="2:13" s="2" customFormat="1" ht="22" customHeight="1">
      <c r="B2" s="3" t="s">
        <v>0</v>
      </c>
      <c r="C2" s="3"/>
      <c r="D2" s="3"/>
      <c r="E2" s="3"/>
      <c r="F2" s="3"/>
      <c r="G2" s="3"/>
      <c r="H2" s="3"/>
      <c r="I2" s="3"/>
      <c r="J2" s="3"/>
      <c r="K2" s="3"/>
      <c r="L2" s="2"/>
      <c r="M2" s="2"/>
    </row>
    <row r="3" spans="2:13" s="2" customFormat="1" ht="14" customHeight="1">
      <c r="B3" s="4" t="s">
        <v>1</v>
      </c>
      <c r="C3" s="4"/>
      <c r="D3" s="4"/>
      <c r="E3" s="4"/>
      <c r="F3" s="4"/>
      <c r="G3" s="4"/>
      <c r="H3" s="4"/>
      <c r="I3" s="4"/>
      <c r="J3" s="4"/>
      <c r="K3" s="4"/>
      <c r="L3" s="2"/>
      <c r="M3" s="2"/>
    </row>
    <row r="4" spans="2:13" ht="3" customHeight="1">
      <c r="B4" s="5"/>
      <c r="C4" s="5"/>
      <c r="D4" s="5"/>
      <c r="E4" s="5"/>
      <c r="F4" s="5"/>
      <c r="G4" s="5"/>
      <c r="H4" s="5"/>
      <c r="I4" s="5"/>
      <c r="J4" s="5"/>
      <c r="K4" s="5"/>
      <c r="L4" s="5"/>
      <c r="M4" s="5"/>
    </row>
    <row r="5" spans="2:13" ht="12" customHeight="1">
      <c r="B5" s="6" t="s">
        <v>2</v>
      </c>
    </row>
    <row r="6" spans="2:13" ht="39" customHeight="1">
      <c r="B6" s="7" t="s">
        <v>3</v>
      </c>
      <c r="C6" s="7"/>
      <c r="D6" s="7"/>
      <c r="E6" s="7"/>
      <c r="F6" s="7"/>
      <c r="G6" s="7"/>
      <c r="H6" s="7"/>
      <c r="I6" s="7"/>
      <c r="J6" s="7"/>
      <c r="K6" s="7"/>
      <c r="L6" s="7"/>
      <c r="M6" s="7"/>
    </row>
    <row r="7" spans="2:13" ht="28" customHeight="1">
      <c r="B7" s="8" t="s">
        <v>4</v>
      </c>
      <c r="C7" s="8"/>
      <c r="D7" s="8"/>
      <c r="E7" s="8"/>
      <c r="F7" s="8"/>
      <c r="G7" s="8"/>
      <c r="H7" s="8"/>
      <c r="I7" s="8"/>
      <c r="J7" s="8"/>
      <c r="K7" s="8"/>
      <c r="L7" s="8"/>
      <c r="M7" s="8"/>
    </row>
    <row r="8" spans="2:13" ht="6" customHeight="1"/>
    <row r="9" spans="2:13" ht="14" customHeight="1">
      <c r="B9" s="9" t="s">
        <v>5</v>
      </c>
      <c r="C9" s="9"/>
      <c r="D9" s="9"/>
      <c r="E9" s="9" t="s">
        <v>7</v>
      </c>
      <c r="F9" s="9"/>
      <c r="G9" s="9"/>
      <c r="H9" s="9" t="s">
        <v>9</v>
      </c>
      <c r="I9" s="9"/>
      <c r="J9" s="9"/>
      <c r="K9" s="9" t="s">
        <v>11</v>
      </c>
      <c r="L9" s="9"/>
      <c r="M9" s="9"/>
    </row>
    <row r="10" spans="2:13" ht="26" customHeight="1">
      <c r="B10" s="10">
        <v>587</v>
      </c>
      <c r="C10" s="10"/>
      <c r="D10" s="10"/>
      <c r="E10" s="10">
        <v>510</v>
      </c>
      <c r="F10" s="10"/>
      <c r="G10" s="10"/>
      <c r="H10" s="11">
        <v>13</v>
      </c>
      <c r="I10" s="11"/>
      <c r="J10" s="11"/>
      <c r="K10" s="12">
        <v>1</v>
      </c>
      <c r="L10" s="12"/>
      <c r="M10" s="12"/>
    </row>
    <row r="11" spans="2:13" ht="22" customHeight="1">
      <c r="B11" s="13" t="s">
        <v>6</v>
      </c>
      <c r="C11" s="13"/>
      <c r="D11" s="13"/>
      <c r="E11" s="13" t="s">
        <v>8</v>
      </c>
      <c r="F11" s="13"/>
      <c r="G11" s="13"/>
      <c r="H11" s="13" t="s">
        <v>10</v>
      </c>
      <c r="I11" s="13"/>
      <c r="J11" s="13"/>
      <c r="K11" s="13" t="s">
        <v>12</v>
      </c>
      <c r="L11" s="13"/>
      <c r="M11" s="13"/>
    </row>
    <row r="12" spans="2:13" ht="8" customHeight="1"/>
    <row r="13" spans="2:13" ht="13" customHeight="1">
      <c r="B13" s="14" t="s">
        <v>13</v>
      </c>
      <c r="C13" s="14"/>
      <c r="D13" s="14"/>
      <c r="E13" s="14"/>
      <c r="F13" s="14"/>
      <c r="G13" s="14"/>
      <c r="H13" s="14"/>
      <c r="I13" s="14" t="s">
        <v>15</v>
      </c>
      <c r="J13" s="14"/>
      <c r="K13" s="14"/>
      <c r="L13" s="14"/>
      <c r="M13" s="14"/>
    </row>
    <row r="14" spans="2:13" ht="22" customHeight="1">
      <c r="B14" s="15" t="s">
        <v>14</v>
      </c>
      <c r="C14" s="15"/>
      <c r="D14" s="15"/>
      <c r="E14" s="15"/>
      <c r="F14" s="15"/>
      <c r="G14" s="15"/>
      <c r="H14" s="15"/>
      <c r="I14" s="15" t="s">
        <v>16</v>
      </c>
      <c r="J14" s="15"/>
      <c r="K14" s="15"/>
      <c r="L14" s="15"/>
      <c r="M14" s="15"/>
    </row>
    <row r="15" spans="2:13" ht="19" customHeight="1"/>
    <row r="16" spans="2:13" ht="19" customHeight="1"/>
    <row r="17" spans="2:13" ht="19" customHeight="1"/>
    <row r="18" spans="2:13" ht="19" customHeight="1"/>
    <row r="19" spans="2:13" ht="19" customHeight="1"/>
    <row r="20" spans="2:13" ht="19" customHeight="1"/>
    <row r="21" spans="2:13" ht="19" customHeight="1"/>
    <row r="22" spans="2:13" ht="19" customHeight="1"/>
    <row r="23" spans="2:13" ht="19" customHeight="1"/>
    <row r="24" spans="2:13" ht="19" customHeight="1"/>
    <row r="25" spans="2:13" ht="19" customHeight="1"/>
    <row r="26" spans="2:13" ht="19" customHeight="1"/>
    <row r="27" spans="2:13" ht="8" customHeight="1"/>
    <row r="28" spans="2:13" ht="14" customHeight="1">
      <c r="B28" s="14" t="s">
        <v>38</v>
      </c>
      <c r="C28" s="14"/>
      <c r="D28" s="14"/>
      <c r="E28" s="14"/>
      <c r="F28" s="14"/>
      <c r="G28" s="14"/>
      <c r="H28" s="14"/>
      <c r="I28" s="14"/>
      <c r="J28" s="14"/>
      <c r="K28" s="14"/>
      <c r="L28" s="14"/>
      <c r="M28" s="14"/>
    </row>
    <row r="29" spans="2:13">
      <c r="B29" s="16" t="s">
        <v>39</v>
      </c>
      <c r="C29" s="16"/>
      <c r="D29" s="16"/>
      <c r="E29" s="16"/>
      <c r="F29" s="16" t="s">
        <v>41</v>
      </c>
      <c r="G29" s="16"/>
      <c r="H29" s="16"/>
      <c r="I29" s="16"/>
      <c r="J29" s="16" t="s">
        <v>43</v>
      </c>
      <c r="K29" s="16"/>
      <c r="L29" s="16"/>
      <c r="M29" s="16"/>
    </row>
    <row r="30" spans="2:13" ht="13" customHeight="1">
      <c r="B30" s="17" t="s">
        <v>40</v>
      </c>
      <c r="C30" s="17"/>
      <c r="D30" s="17"/>
      <c r="E30" s="17"/>
      <c r="F30" s="17" t="s">
        <v>42</v>
      </c>
      <c r="G30" s="17"/>
      <c r="H30" s="17"/>
      <c r="I30" s="17"/>
      <c r="J30" s="17" t="s">
        <v>44</v>
      </c>
      <c r="K30" s="17"/>
      <c r="L30" s="17"/>
      <c r="M30" s="17"/>
    </row>
    <row r="31" spans="2:13" ht="13" customHeight="1">
      <c r="B31" s="17"/>
      <c r="C31" s="17"/>
      <c r="D31" s="17"/>
      <c r="E31" s="17"/>
      <c r="F31" s="17"/>
      <c r="G31" s="17"/>
      <c r="H31" s="17"/>
      <c r="I31" s="17"/>
      <c r="J31" s="17"/>
      <c r="K31" s="17"/>
      <c r="L31" s="17"/>
      <c r="M31" s="17"/>
    </row>
    <row r="32" spans="2:13" ht="13" customHeight="1">
      <c r="B32" s="17"/>
      <c r="C32" s="17"/>
      <c r="D32" s="17"/>
      <c r="E32" s="17"/>
      <c r="F32" s="17"/>
      <c r="G32" s="17"/>
      <c r="H32" s="17"/>
      <c r="I32" s="17"/>
      <c r="J32" s="17"/>
      <c r="K32" s="17"/>
      <c r="L32" s="17"/>
      <c r="M32" s="17"/>
    </row>
    <row r="33" spans="2:13" ht="13" customHeight="1">
      <c r="B33" s="17"/>
      <c r="C33" s="17"/>
      <c r="D33" s="17"/>
      <c r="E33" s="17"/>
      <c r="F33" s="17"/>
      <c r="G33" s="17"/>
      <c r="H33" s="17"/>
      <c r="I33" s="17"/>
      <c r="J33" s="17"/>
      <c r="K33" s="17"/>
      <c r="L33" s="17"/>
      <c r="M33" s="17"/>
    </row>
    <row r="34" spans="2:13" ht="20" customHeight="1">
      <c r="B34" s="18" t="s">
        <v>45</v>
      </c>
      <c r="C34" s="18"/>
      <c r="D34" s="18"/>
      <c r="E34" s="18"/>
      <c r="F34" s="18"/>
      <c r="G34" s="18"/>
      <c r="H34" s="18"/>
      <c r="I34" s="18"/>
      <c r="J34" s="18"/>
      <c r="K34" s="18"/>
      <c r="L34" s="18"/>
      <c r="M34" s="18"/>
    </row>
  </sheetData>
  <mergeCells count="30">
    <mergeCell ref="B2:K2"/>
    <mergeCell ref="B3:K3"/>
    <mergeCell ref="L2:M3"/>
    <mergeCell ref="B4:M4"/>
    <mergeCell ref="B6:M6"/>
    <mergeCell ref="B7:M7"/>
    <mergeCell ref="B9:D9"/>
    <mergeCell ref="B10:D10"/>
    <mergeCell ref="B11:D11"/>
    <mergeCell ref="E9:G9"/>
    <mergeCell ref="E10:G10"/>
    <mergeCell ref="E11:G11"/>
    <mergeCell ref="H9:J9"/>
    <mergeCell ref="H10:J10"/>
    <mergeCell ref="H11:J11"/>
    <mergeCell ref="K9:M9"/>
    <mergeCell ref="K10:M10"/>
    <mergeCell ref="K11:M11"/>
    <mergeCell ref="B13:H13"/>
    <mergeCell ref="B14:H14"/>
    <mergeCell ref="I13:M13"/>
    <mergeCell ref="I14:M14"/>
    <mergeCell ref="B28:M28"/>
    <mergeCell ref="B29:E29"/>
    <mergeCell ref="B30:E33"/>
    <mergeCell ref="F29:I29"/>
    <mergeCell ref="F30:I33"/>
    <mergeCell ref="J29:M29"/>
    <mergeCell ref="J30:M33"/>
    <mergeCell ref="B34:M34"/>
  </mergeCells>
  <pageMargins left="0.25" right="0.25" top="0.3" bottom="0.25" header="0.3" footer="0.3"/>
  <pageSetup paperSize="9" orientation="landscape"/>
  <drawing r:id="rId1"/>
</worksheet>
</file>

<file path=xl/worksheets/sheet3.xml><?xml version="1.0" encoding="utf-8"?>
<worksheet xmlns="http://schemas.openxmlformats.org/spreadsheetml/2006/main" xmlns:r="http://schemas.openxmlformats.org/officeDocument/2006/relationships">
  <sheetPr>
    <tabColor rgb="FFFDAF27"/>
    <pageSetUpPr fitToPage="1"/>
  </sheetPr>
  <dimension ref="A1:AO33"/>
  <sheetViews>
    <sheetView showGridLines="0" zoomScale="85" zoomScaleNormal="85" workbookViewId="0"/>
  </sheetViews>
  <sheetFormatPr defaultRowHeight="15"/>
  <cols>
    <col min="1" max="1" width="2.140625" style="1" customWidth="1"/>
    <col min="2" max="13" width="11.85546875" style="1" customWidth="1"/>
    <col min="14" max="41" width="2.140625" style="1" customWidth="1"/>
  </cols>
  <sheetData>
    <row r="1" spans="2:13" ht="6" customHeight="1"/>
    <row r="2" spans="2:13" s="2" customFormat="1" ht="22" customHeight="1">
      <c r="B2" s="3" t="s">
        <v>46</v>
      </c>
      <c r="C2" s="3"/>
      <c r="D2" s="3"/>
      <c r="E2" s="3"/>
      <c r="F2" s="3"/>
      <c r="G2" s="3"/>
      <c r="H2" s="3"/>
      <c r="I2" s="3"/>
      <c r="J2" s="3"/>
      <c r="K2" s="3"/>
      <c r="L2" s="2"/>
      <c r="M2" s="2"/>
    </row>
    <row r="3" spans="2:13" s="2" customFormat="1" ht="14" customHeight="1">
      <c r="B3" s="4" t="s">
        <v>47</v>
      </c>
      <c r="C3" s="4"/>
      <c r="D3" s="4"/>
      <c r="E3" s="4"/>
      <c r="F3" s="4"/>
      <c r="G3" s="4"/>
      <c r="H3" s="4"/>
      <c r="I3" s="4"/>
      <c r="J3" s="4"/>
      <c r="K3" s="4"/>
      <c r="L3" s="2"/>
      <c r="M3" s="2"/>
    </row>
    <row r="4" spans="2:13" ht="3" customHeight="1">
      <c r="B4" s="5"/>
      <c r="C4" s="5"/>
      <c r="D4" s="5"/>
      <c r="E4" s="5"/>
      <c r="F4" s="5"/>
      <c r="G4" s="5"/>
      <c r="H4" s="5"/>
      <c r="I4" s="5"/>
      <c r="J4" s="5"/>
      <c r="K4" s="5"/>
      <c r="L4" s="5"/>
      <c r="M4" s="5"/>
    </row>
    <row r="5" spans="2:13" ht="12" customHeight="1">
      <c r="B5" s="6" t="s">
        <v>48</v>
      </c>
    </row>
    <row r="6" spans="2:13" ht="39" customHeight="1">
      <c r="B6" s="7" t="s">
        <v>49</v>
      </c>
      <c r="C6" s="7"/>
      <c r="D6" s="7"/>
      <c r="E6" s="7"/>
      <c r="F6" s="7"/>
      <c r="G6" s="7"/>
      <c r="H6" s="7"/>
      <c r="I6" s="7"/>
      <c r="J6" s="7"/>
      <c r="K6" s="7"/>
      <c r="L6" s="7"/>
      <c r="M6" s="7"/>
    </row>
    <row r="7" spans="2:13" ht="28" customHeight="1">
      <c r="B7" s="8" t="s">
        <v>50</v>
      </c>
      <c r="C7" s="8"/>
      <c r="D7" s="8"/>
      <c r="E7" s="8"/>
      <c r="F7" s="8"/>
      <c r="G7" s="8"/>
      <c r="H7" s="8"/>
      <c r="I7" s="8"/>
      <c r="J7" s="8"/>
      <c r="K7" s="8"/>
      <c r="L7" s="8"/>
      <c r="M7" s="8"/>
    </row>
    <row r="8" spans="2:13" ht="6" customHeight="1"/>
    <row r="9" spans="2:13" ht="13" customHeight="1">
      <c r="B9" s="14" t="s">
        <v>51</v>
      </c>
      <c r="C9" s="14"/>
      <c r="D9" s="14"/>
      <c r="E9" s="14"/>
      <c r="F9" s="14"/>
      <c r="G9" s="14"/>
      <c r="H9" s="14"/>
      <c r="I9" s="14"/>
      <c r="J9" s="14"/>
      <c r="K9" s="14"/>
      <c r="L9" s="14"/>
      <c r="M9" s="14"/>
    </row>
    <row r="10" spans="2:13" ht="12" customHeight="1">
      <c r="B10" s="15" t="s">
        <v>52</v>
      </c>
      <c r="C10" s="15"/>
      <c r="D10" s="15"/>
      <c r="E10" s="15"/>
      <c r="F10" s="15"/>
      <c r="G10" s="15"/>
      <c r="H10" s="15"/>
      <c r="I10" s="15"/>
      <c r="J10" s="15"/>
      <c r="K10" s="15"/>
      <c r="L10" s="15"/>
      <c r="M10" s="15"/>
    </row>
    <row r="11" spans="2:13" ht="30" customHeight="1">
      <c r="B11" s="19" t="s">
        <v>53</v>
      </c>
      <c r="C11" s="19"/>
      <c r="D11" s="19"/>
      <c r="E11" s="20" t="s">
        <v>54</v>
      </c>
      <c r="F11" s="20" t="s">
        <v>55</v>
      </c>
      <c r="G11" s="20" t="s">
        <v>56</v>
      </c>
      <c r="H11" s="20" t="s">
        <v>57</v>
      </c>
      <c r="I11" s="20" t="s">
        <v>58</v>
      </c>
      <c r="J11" s="20" t="s">
        <v>59</v>
      </c>
      <c r="K11" s="20" t="s">
        <v>60</v>
      </c>
      <c r="L11" s="20" t="s">
        <v>61</v>
      </c>
      <c r="M11" s="20"/>
    </row>
    <row r="12" spans="2:13" ht="20" customHeight="1">
      <c r="B12" s="21" t="s">
        <v>62</v>
      </c>
      <c r="C12" s="21"/>
      <c r="D12" s="21"/>
      <c r="E12" s="22">
        <v>0</v>
      </c>
      <c r="F12" s="22">
        <v>1</v>
      </c>
      <c r="G12" s="22">
        <v>0</v>
      </c>
      <c r="H12" s="22">
        <v>0</v>
      </c>
      <c r="I12" s="22">
        <v>60</v>
      </c>
      <c r="J12" s="22">
        <v>0</v>
      </c>
      <c r="K12" s="22">
        <v>61</v>
      </c>
      <c r="L12" s="23">
        <v>0.9836065573770492</v>
      </c>
      <c r="M12" s="23"/>
    </row>
    <row r="13" spans="2:13" ht="20" customHeight="1">
      <c r="B13" s="21" t="s">
        <v>63</v>
      </c>
      <c r="C13" s="21"/>
      <c r="D13" s="21"/>
      <c r="E13" s="22">
        <v>9</v>
      </c>
      <c r="F13" s="22">
        <v>5</v>
      </c>
      <c r="G13" s="22">
        <v>0</v>
      </c>
      <c r="H13" s="22">
        <v>1</v>
      </c>
      <c r="I13" s="22">
        <v>1</v>
      </c>
      <c r="J13" s="22">
        <v>0</v>
      </c>
      <c r="K13" s="22">
        <v>16</v>
      </c>
      <c r="L13" s="23">
        <v>0.125</v>
      </c>
      <c r="M13" s="23"/>
    </row>
    <row r="14" spans="2:13" ht="20" customHeight="1">
      <c r="B14" s="24" t="s">
        <v>64</v>
      </c>
      <c r="C14" s="24"/>
      <c r="D14" s="24"/>
      <c r="E14" s="22">
        <v>441</v>
      </c>
      <c r="F14" s="22">
        <v>46</v>
      </c>
      <c r="G14" s="22">
        <v>1</v>
      </c>
      <c r="H14" s="22">
        <v>6</v>
      </c>
      <c r="I14" s="22">
        <v>6</v>
      </c>
      <c r="J14" s="22">
        <v>10</v>
      </c>
      <c r="K14" s="22">
        <v>510</v>
      </c>
      <c r="L14" s="23">
        <v>0.02549019607843137</v>
      </c>
      <c r="M14" s="23"/>
    </row>
    <row r="15" spans="2:13" ht="20" customHeight="1">
      <c r="B15" s="25" t="s">
        <v>65</v>
      </c>
      <c r="C15" s="25"/>
      <c r="D15" s="25"/>
      <c r="E15" s="26">
        <v>450</v>
      </c>
      <c r="F15" s="26">
        <v>52</v>
      </c>
      <c r="G15" s="26">
        <v>1</v>
      </c>
      <c r="H15" s="26">
        <v>7</v>
      </c>
      <c r="I15" s="26">
        <v>67</v>
      </c>
      <c r="J15" s="26">
        <v>10</v>
      </c>
      <c r="K15" s="26">
        <v>587</v>
      </c>
      <c r="L15" s="27">
        <v>0.1277683134582623</v>
      </c>
      <c r="M15" s="27"/>
    </row>
    <row r="16" spans="2:13" ht="16" customHeight="1">
      <c r="B16" s="18" t="s">
        <v>66</v>
      </c>
      <c r="C16" s="18"/>
      <c r="D16" s="18"/>
      <c r="E16" s="18"/>
      <c r="F16" s="18"/>
      <c r="G16" s="18"/>
      <c r="H16" s="18"/>
      <c r="I16" s="18"/>
      <c r="J16" s="18"/>
      <c r="K16" s="18"/>
      <c r="L16" s="18"/>
      <c r="M16" s="18"/>
    </row>
    <row r="17" spans="2:13" ht="8" customHeight="1"/>
    <row r="18" spans="2:13" ht="13" customHeight="1">
      <c r="B18" s="14" t="s">
        <v>67</v>
      </c>
      <c r="C18" s="14"/>
      <c r="D18" s="14"/>
      <c r="E18" s="14"/>
      <c r="F18" s="14"/>
      <c r="G18" s="14"/>
      <c r="H18" s="14" t="s">
        <v>69</v>
      </c>
      <c r="I18" s="14"/>
      <c r="J18" s="14"/>
      <c r="K18" s="14"/>
      <c r="L18" s="14"/>
      <c r="M18" s="14"/>
    </row>
    <row r="19" spans="2:13" ht="22" customHeight="1">
      <c r="B19" s="15" t="s">
        <v>68</v>
      </c>
      <c r="C19" s="15"/>
      <c r="D19" s="15"/>
      <c r="E19" s="15"/>
      <c r="F19" s="15"/>
      <c r="G19" s="15"/>
      <c r="H19" s="15" t="s">
        <v>70</v>
      </c>
      <c r="I19" s="15"/>
      <c r="J19" s="15"/>
      <c r="K19" s="15"/>
      <c r="L19" s="15"/>
      <c r="M19" s="15"/>
    </row>
    <row r="20" spans="2:13" ht="18" customHeight="1">
      <c r="H20" s="28" t="s">
        <v>80</v>
      </c>
      <c r="I20" s="28"/>
      <c r="J20" s="28"/>
      <c r="K20" s="28"/>
      <c r="L20" s="28"/>
      <c r="M20" s="28"/>
    </row>
    <row r="21" spans="2:13" ht="18" customHeight="1">
      <c r="H21" s="28"/>
      <c r="I21" s="28"/>
      <c r="J21" s="28"/>
      <c r="K21" s="28"/>
      <c r="L21" s="28"/>
      <c r="M21" s="28"/>
    </row>
    <row r="22" spans="2:13" ht="28" customHeight="1">
      <c r="H22" s="19" t="s">
        <v>81</v>
      </c>
      <c r="I22" s="19"/>
      <c r="J22" s="20" t="s">
        <v>82</v>
      </c>
      <c r="K22" s="20" t="s">
        <v>83</v>
      </c>
      <c r="L22" s="20" t="s">
        <v>84</v>
      </c>
      <c r="M22" s="20"/>
    </row>
    <row r="23" spans="2:13" ht="18" customHeight="1">
      <c r="H23" s="21" t="s">
        <v>85</v>
      </c>
      <c r="I23" s="21"/>
      <c r="J23" s="22">
        <v>1</v>
      </c>
      <c r="K23" s="22">
        <v>1</v>
      </c>
      <c r="L23" s="29">
        <v>16230256.11</v>
      </c>
      <c r="M23" s="29"/>
    </row>
    <row r="24" spans="2:13" ht="18" customHeight="1">
      <c r="H24" s="21" t="s">
        <v>86</v>
      </c>
      <c r="I24" s="21"/>
      <c r="J24" s="22">
        <v>6</v>
      </c>
      <c r="K24" s="22">
        <v>4</v>
      </c>
      <c r="L24" s="29">
        <v>59447216.345</v>
      </c>
      <c r="M24" s="29"/>
    </row>
    <row r="25" spans="2:13" ht="18" customHeight="1">
      <c r="H25" s="21" t="s">
        <v>87</v>
      </c>
      <c r="I25" s="21"/>
      <c r="J25" s="22">
        <v>6</v>
      </c>
      <c r="K25" s="22">
        <v>3</v>
      </c>
      <c r="L25" s="29">
        <v>31133581.995</v>
      </c>
      <c r="M25" s="29"/>
    </row>
    <row r="26" spans="2:13" ht="18" customHeight="1">
      <c r="H26" s="25" t="s">
        <v>88</v>
      </c>
      <c r="I26" s="25"/>
      <c r="J26" s="26">
        <v>13</v>
      </c>
      <c r="K26" s="26">
        <v>8</v>
      </c>
      <c r="L26" s="29">
        <v>43055003.55</v>
      </c>
      <c r="M26" s="29"/>
    </row>
    <row r="27" spans="2:13" ht="18" customHeight="1">
      <c r="H27" s="17" t="s">
        <v>89</v>
      </c>
      <c r="I27" s="17"/>
      <c r="J27" s="17"/>
      <c r="K27" s="17"/>
      <c r="L27" s="17"/>
      <c r="M27" s="17"/>
    </row>
    <row r="28" spans="2:13" ht="18" customHeight="1">
      <c r="H28" s="17"/>
      <c r="I28" s="17"/>
      <c r="J28" s="17"/>
      <c r="K28" s="17"/>
      <c r="L28" s="17"/>
      <c r="M28" s="17"/>
    </row>
    <row r="29" spans="2:13" ht="18" customHeight="1">
      <c r="H29" s="17"/>
      <c r="I29" s="17"/>
      <c r="J29" s="17"/>
      <c r="K29" s="17"/>
      <c r="L29" s="17"/>
      <c r="M29" s="17"/>
    </row>
    <row r="30" spans="2:13" ht="18" customHeight="1">
      <c r="H30" s="17"/>
      <c r="I30" s="17"/>
      <c r="J30" s="17"/>
      <c r="K30" s="17"/>
      <c r="L30" s="17"/>
      <c r="M30" s="17"/>
    </row>
    <row r="31" spans="2:13" ht="18" customHeight="1">
      <c r="H31" s="17"/>
      <c r="I31" s="17"/>
      <c r="J31" s="17"/>
      <c r="K31" s="17"/>
      <c r="L31" s="17"/>
      <c r="M31" s="17"/>
    </row>
    <row r="32" spans="2:13" ht="6" customHeight="1"/>
    <row r="33" spans="2:13" ht="20" customHeight="1">
      <c r="B33" s="18" t="s">
        <v>90</v>
      </c>
      <c r="C33" s="18"/>
      <c r="D33" s="18"/>
      <c r="E33" s="18"/>
      <c r="F33" s="18"/>
      <c r="G33" s="18"/>
      <c r="H33" s="18"/>
      <c r="I33" s="18"/>
      <c r="J33" s="18"/>
      <c r="K33" s="18"/>
      <c r="L33" s="18"/>
      <c r="M33" s="18"/>
    </row>
  </sheetData>
  <mergeCells count="36">
    <mergeCell ref="B2:K2"/>
    <mergeCell ref="B3:K3"/>
    <mergeCell ref="L2:M3"/>
    <mergeCell ref="B4:M4"/>
    <mergeCell ref="B6:M6"/>
    <mergeCell ref="B7:M7"/>
    <mergeCell ref="B9:M9"/>
    <mergeCell ref="B10:M10"/>
    <mergeCell ref="B11:D11"/>
    <mergeCell ref="L11:M11"/>
    <mergeCell ref="B12:D12"/>
    <mergeCell ref="L12:M12"/>
    <mergeCell ref="B13:D13"/>
    <mergeCell ref="L13:M13"/>
    <mergeCell ref="B14:D14"/>
    <mergeCell ref="L14:M14"/>
    <mergeCell ref="B15:D15"/>
    <mergeCell ref="L15:M15"/>
    <mergeCell ref="B16:M16"/>
    <mergeCell ref="B18:G18"/>
    <mergeCell ref="B19:G19"/>
    <mergeCell ref="H18:M18"/>
    <mergeCell ref="H19:M19"/>
    <mergeCell ref="H20:M21"/>
    <mergeCell ref="H22:I22"/>
    <mergeCell ref="L22:M22"/>
    <mergeCell ref="H23:I23"/>
    <mergeCell ref="L23:M23"/>
    <mergeCell ref="H24:I24"/>
    <mergeCell ref="L24:M24"/>
    <mergeCell ref="H25:I25"/>
    <mergeCell ref="L25:M25"/>
    <mergeCell ref="H26:I26"/>
    <mergeCell ref="L26:M26"/>
    <mergeCell ref="H27:M31"/>
    <mergeCell ref="B33:M33"/>
  </mergeCells>
  <conditionalFormatting sqref="E12:J14">
    <cfRule type="colorScale" priority="1">
      <colorScale>
        <cfvo type="min" val="0"/>
        <cfvo type="max" val="0"/>
        <color rgb="FFFFFFFF"/>
        <color rgb="FFFDAF27"/>
      </colorScale>
    </cfRule>
  </conditionalFormatting>
  <pageMargins left="0.25" right="0.25" top="0.3" bottom="0.25" header="0.3" footer="0.3"/>
  <pageSetup paperSize="9" orientation="landscape"/>
  <drawing r:id="rId1"/>
</worksheet>
</file>

<file path=xl/worksheets/sheet4.xml><?xml version="1.0" encoding="utf-8"?>
<worksheet xmlns="http://schemas.openxmlformats.org/spreadsheetml/2006/main" xmlns:r="http://schemas.openxmlformats.org/officeDocument/2006/relationships">
  <sheetPr>
    <tabColor rgb="FFFDAF27"/>
    <pageSetUpPr fitToPage="1"/>
  </sheetPr>
  <dimension ref="A1:AO33"/>
  <sheetViews>
    <sheetView showGridLines="0" zoomScale="85" zoomScaleNormal="85" workbookViewId="0"/>
  </sheetViews>
  <sheetFormatPr defaultRowHeight="15"/>
  <cols>
    <col min="1" max="1" width="2.140625" style="1" customWidth="1"/>
    <col min="2" max="13" width="11.85546875" style="1" customWidth="1"/>
    <col min="14" max="41" width="2.140625" style="1" customWidth="1"/>
  </cols>
  <sheetData>
    <row r="1" spans="2:13" ht="6" customHeight="1"/>
    <row r="2" spans="2:13" s="2" customFormat="1" ht="22" customHeight="1">
      <c r="B2" s="3" t="s">
        <v>91</v>
      </c>
      <c r="C2" s="3"/>
      <c r="D2" s="3"/>
      <c r="E2" s="3"/>
      <c r="F2" s="3"/>
      <c r="G2" s="3"/>
      <c r="H2" s="3"/>
      <c r="I2" s="3"/>
      <c r="J2" s="3"/>
      <c r="K2" s="3"/>
      <c r="L2" s="2"/>
      <c r="M2" s="2"/>
    </row>
    <row r="3" spans="2:13" s="2" customFormat="1" ht="14" customHeight="1">
      <c r="B3" s="4" t="s">
        <v>92</v>
      </c>
      <c r="C3" s="4"/>
      <c r="D3" s="4"/>
      <c r="E3" s="4"/>
      <c r="F3" s="4"/>
      <c r="G3" s="4"/>
      <c r="H3" s="4"/>
      <c r="I3" s="4"/>
      <c r="J3" s="4"/>
      <c r="K3" s="4"/>
      <c r="L3" s="2"/>
      <c r="M3" s="2"/>
    </row>
    <row r="4" spans="2:13" ht="3" customHeight="1">
      <c r="B4" s="5"/>
      <c r="C4" s="5"/>
      <c r="D4" s="5"/>
      <c r="E4" s="5"/>
      <c r="F4" s="5"/>
      <c r="G4" s="5"/>
      <c r="H4" s="5"/>
      <c r="I4" s="5"/>
      <c r="J4" s="5"/>
      <c r="K4" s="5"/>
      <c r="L4" s="5"/>
      <c r="M4" s="5"/>
    </row>
    <row r="5" spans="2:13" ht="12" customHeight="1">
      <c r="B5" s="6" t="s">
        <v>93</v>
      </c>
    </row>
    <row r="6" spans="2:13" ht="22" customHeight="1">
      <c r="B6" s="7" t="s">
        <v>94</v>
      </c>
      <c r="C6" s="7"/>
      <c r="D6" s="7"/>
      <c r="E6" s="7"/>
      <c r="F6" s="7"/>
      <c r="G6" s="7"/>
      <c r="H6" s="7"/>
      <c r="I6" s="7"/>
      <c r="J6" s="7"/>
      <c r="K6" s="7"/>
      <c r="L6" s="7"/>
      <c r="M6" s="7"/>
    </row>
    <row r="7" spans="2:13" ht="28" customHeight="1">
      <c r="B7" s="8" t="s">
        <v>95</v>
      </c>
      <c r="C7" s="8"/>
      <c r="D7" s="8"/>
      <c r="E7" s="8"/>
      <c r="F7" s="8"/>
      <c r="G7" s="8"/>
      <c r="H7" s="8"/>
      <c r="I7" s="8"/>
      <c r="J7" s="8"/>
      <c r="K7" s="8"/>
      <c r="L7" s="8"/>
      <c r="M7" s="8"/>
    </row>
    <row r="8" spans="2:13" ht="6" customHeight="1"/>
    <row r="9" spans="2:13" ht="13" customHeight="1">
      <c r="B9" s="14" t="s">
        <v>96</v>
      </c>
      <c r="C9" s="14"/>
      <c r="D9" s="14"/>
      <c r="E9" s="14"/>
      <c r="F9" s="14"/>
      <c r="G9" s="14"/>
      <c r="H9" s="14"/>
      <c r="I9" s="14"/>
      <c r="J9" s="14"/>
      <c r="K9" s="14"/>
      <c r="L9" s="14"/>
      <c r="M9" s="14"/>
    </row>
    <row r="10" spans="2:13" ht="22" customHeight="1">
      <c r="B10" s="15" t="s">
        <v>97</v>
      </c>
      <c r="C10" s="15"/>
      <c r="D10" s="15"/>
      <c r="E10" s="15"/>
      <c r="F10" s="15"/>
      <c r="G10" s="15"/>
      <c r="H10" s="15"/>
      <c r="I10" s="15"/>
      <c r="J10" s="15"/>
      <c r="K10" s="15"/>
      <c r="L10" s="15"/>
      <c r="M10" s="15"/>
    </row>
    <row r="11" spans="2:13" ht="30" customHeight="1">
      <c r="B11" s="19" t="s">
        <v>98</v>
      </c>
      <c r="C11" s="19"/>
      <c r="D11" s="19"/>
      <c r="E11" s="20" t="s">
        <v>82</v>
      </c>
      <c r="F11" s="20" t="s">
        <v>99</v>
      </c>
      <c r="G11" s="20" t="s">
        <v>100</v>
      </c>
      <c r="H11" s="20" t="s">
        <v>84</v>
      </c>
      <c r="I11" s="20"/>
      <c r="J11" s="20" t="s">
        <v>101</v>
      </c>
      <c r="K11" s="20"/>
      <c r="L11" s="20" t="s">
        <v>102</v>
      </c>
      <c r="M11" s="20" t="s">
        <v>103</v>
      </c>
    </row>
    <row r="12" spans="2:13" ht="19" customHeight="1">
      <c r="B12" s="21" t="s">
        <v>104</v>
      </c>
      <c r="C12" s="21"/>
      <c r="D12" s="21"/>
      <c r="E12" s="22">
        <v>426</v>
      </c>
      <c r="F12" s="30">
        <v>0.726</v>
      </c>
      <c r="G12" s="22">
        <v>17.7</v>
      </c>
      <c r="H12" s="29">
        <v>137466985.8</v>
      </c>
      <c r="I12" s="29"/>
      <c r="J12" s="29">
        <v>7985900.9</v>
      </c>
      <c r="K12" s="29"/>
      <c r="L12" s="30">
        <v>0</v>
      </c>
      <c r="M12" s="30">
        <v>0</v>
      </c>
    </row>
    <row r="13" spans="2:13" ht="19" customHeight="1">
      <c r="B13" s="21" t="s">
        <v>105</v>
      </c>
      <c r="C13" s="21"/>
      <c r="D13" s="21"/>
      <c r="E13" s="22">
        <v>64</v>
      </c>
      <c r="F13" s="30">
        <v>0.109</v>
      </c>
      <c r="G13" s="22">
        <v>34.8</v>
      </c>
      <c r="H13" s="29">
        <v>174326528.2</v>
      </c>
      <c r="I13" s="29"/>
      <c r="J13" s="29">
        <v>20966297.9</v>
      </c>
      <c r="K13" s="29"/>
      <c r="L13" s="30">
        <v>0</v>
      </c>
      <c r="M13" s="30">
        <v>0.484</v>
      </c>
    </row>
    <row r="14" spans="2:13" ht="19" customHeight="1">
      <c r="B14" s="21" t="s">
        <v>106</v>
      </c>
      <c r="C14" s="21"/>
      <c r="D14" s="21"/>
      <c r="E14" s="22">
        <v>14</v>
      </c>
      <c r="F14" s="30">
        <v>0.024</v>
      </c>
      <c r="G14" s="22">
        <v>28.3</v>
      </c>
      <c r="H14" s="29">
        <v>209797428.6</v>
      </c>
      <c r="I14" s="29"/>
      <c r="J14" s="29">
        <v>63470613.5</v>
      </c>
      <c r="K14" s="29"/>
      <c r="L14" s="30">
        <v>0</v>
      </c>
      <c r="M14" s="30">
        <v>0.357</v>
      </c>
    </row>
    <row r="15" spans="2:13" ht="19" customHeight="1">
      <c r="B15" s="24" t="s">
        <v>107</v>
      </c>
      <c r="C15" s="24"/>
      <c r="D15" s="24"/>
      <c r="E15" s="22">
        <v>22</v>
      </c>
      <c r="F15" s="30">
        <v>0.03700000000000001</v>
      </c>
      <c r="G15" s="26">
        <v>64.2</v>
      </c>
      <c r="H15" s="29">
        <v>65364899.6</v>
      </c>
      <c r="I15" s="29"/>
      <c r="J15" s="29">
        <v>16039193.3</v>
      </c>
      <c r="K15" s="29"/>
      <c r="L15" s="23">
        <v>0.455</v>
      </c>
      <c r="M15" s="30">
        <v>0.636</v>
      </c>
    </row>
    <row r="16" spans="2:13" ht="19" customHeight="1">
      <c r="B16" s="24" t="s">
        <v>108</v>
      </c>
      <c r="C16" s="24"/>
      <c r="D16" s="24"/>
      <c r="E16" s="22">
        <v>61</v>
      </c>
      <c r="F16" s="30">
        <v>0.104</v>
      </c>
      <c r="G16" s="22">
        <v>50.4</v>
      </c>
      <c r="H16" s="29">
        <v>42485773.3</v>
      </c>
      <c r="I16" s="29"/>
      <c r="J16" s="29">
        <v>5395106</v>
      </c>
      <c r="K16" s="29"/>
      <c r="L16" s="23">
        <v>0.164</v>
      </c>
      <c r="M16" s="30">
        <v>1</v>
      </c>
    </row>
    <row r="17" spans="2:13" ht="16" customHeight="1">
      <c r="B17" s="18" t="s">
        <v>109</v>
      </c>
      <c r="C17" s="18"/>
      <c r="D17" s="18"/>
      <c r="E17" s="18"/>
      <c r="F17" s="18"/>
      <c r="G17" s="18"/>
      <c r="H17" s="18"/>
      <c r="I17" s="18"/>
      <c r="J17" s="18"/>
      <c r="K17" s="18"/>
      <c r="L17" s="18"/>
      <c r="M17" s="18"/>
    </row>
    <row r="18" spans="2:13" ht="8" customHeight="1"/>
    <row r="19" spans="2:13" ht="13" customHeight="1">
      <c r="B19" s="14" t="s">
        <v>110</v>
      </c>
      <c r="C19" s="14"/>
      <c r="D19" s="14"/>
      <c r="E19" s="14"/>
      <c r="F19" s="14"/>
      <c r="G19" s="14"/>
      <c r="H19" s="14"/>
      <c r="I19" s="14" t="s">
        <v>112</v>
      </c>
      <c r="J19" s="14"/>
      <c r="K19" s="14"/>
      <c r="L19" s="14"/>
      <c r="M19" s="14"/>
    </row>
    <row r="20" spans="2:13" ht="22" customHeight="1">
      <c r="B20" s="15" t="s">
        <v>111</v>
      </c>
      <c r="C20" s="15"/>
      <c r="D20" s="15"/>
      <c r="E20" s="15"/>
      <c r="F20" s="15"/>
      <c r="G20" s="15"/>
      <c r="H20" s="15"/>
      <c r="I20" s="15" t="s">
        <v>113</v>
      </c>
      <c r="J20" s="15"/>
      <c r="K20" s="15"/>
      <c r="L20" s="15"/>
      <c r="M20" s="15"/>
    </row>
    <row r="21" spans="2:13" ht="18" customHeight="1"/>
    <row r="22" spans="2:13" ht="18" customHeight="1"/>
    <row r="23" spans="2:13" ht="18" customHeight="1"/>
    <row r="24" spans="2:13" ht="18" customHeight="1"/>
    <row r="25" spans="2:13" ht="18" customHeight="1"/>
    <row r="26" spans="2:13" ht="18" customHeight="1"/>
    <row r="27" spans="2:13" ht="18" customHeight="1"/>
    <row r="28" spans="2:13" ht="18" customHeight="1"/>
    <row r="29" spans="2:13" ht="18" customHeight="1"/>
    <row r="30" spans="2:13" ht="18" customHeight="1"/>
    <row r="31" spans="2:13" ht="18" customHeight="1"/>
    <row r="32" spans="2:13" ht="18" customHeight="1"/>
    <row r="33" spans="2:13" ht="22" customHeight="1">
      <c r="B33" s="18" t="s">
        <v>122</v>
      </c>
      <c r="C33" s="18"/>
      <c r="D33" s="18"/>
      <c r="E33" s="18"/>
      <c r="F33" s="18"/>
      <c r="G33" s="18"/>
      <c r="H33" s="18"/>
      <c r="I33" s="18"/>
      <c r="J33" s="18"/>
      <c r="K33" s="18"/>
      <c r="L33" s="18"/>
      <c r="M33" s="18"/>
    </row>
  </sheetData>
  <mergeCells count="32">
    <mergeCell ref="B2:K2"/>
    <mergeCell ref="B3:K3"/>
    <mergeCell ref="L2:M3"/>
    <mergeCell ref="B4:M4"/>
    <mergeCell ref="B6:M6"/>
    <mergeCell ref="B7:M7"/>
    <mergeCell ref="B9:M9"/>
    <mergeCell ref="B10:M10"/>
    <mergeCell ref="B11:D11"/>
    <mergeCell ref="H11:I11"/>
    <mergeCell ref="J11:K11"/>
    <mergeCell ref="B12:D12"/>
    <mergeCell ref="H12:I12"/>
    <mergeCell ref="J12:K12"/>
    <mergeCell ref="B13:D13"/>
    <mergeCell ref="H13:I13"/>
    <mergeCell ref="J13:K13"/>
    <mergeCell ref="B14:D14"/>
    <mergeCell ref="H14:I14"/>
    <mergeCell ref="J14:K14"/>
    <mergeCell ref="B15:D15"/>
    <mergeCell ref="H15:I15"/>
    <mergeCell ref="J15:K15"/>
    <mergeCell ref="B16:D16"/>
    <mergeCell ref="H16:I16"/>
    <mergeCell ref="J16:K16"/>
    <mergeCell ref="B17:M17"/>
    <mergeCell ref="B19:H19"/>
    <mergeCell ref="B20:H20"/>
    <mergeCell ref="I19:M19"/>
    <mergeCell ref="I20:M20"/>
    <mergeCell ref="B33:M33"/>
  </mergeCells>
  <pageMargins left="0.25" right="0.25" top="0.3" bottom="0.25" header="0.3" footer="0.3"/>
  <pageSetup paperSize="9" orientation="landscape"/>
  <drawing r:id="rId1"/>
</worksheet>
</file>

<file path=xl/worksheets/sheet5.xml><?xml version="1.0" encoding="utf-8"?>
<worksheet xmlns="http://schemas.openxmlformats.org/spreadsheetml/2006/main" xmlns:r="http://schemas.openxmlformats.org/officeDocument/2006/relationships">
  <sheetPr>
    <tabColor rgb="FFFDAF27"/>
    <pageSetUpPr fitToPage="1"/>
  </sheetPr>
  <dimension ref="A1:AO34"/>
  <sheetViews>
    <sheetView showGridLines="0" zoomScale="85" zoomScaleNormal="85" workbookViewId="0"/>
  </sheetViews>
  <sheetFormatPr defaultRowHeight="15"/>
  <cols>
    <col min="1" max="1" width="2.140625" style="1" customWidth="1"/>
    <col min="2" max="13" width="11.85546875" style="1" customWidth="1"/>
    <col min="14" max="41" width="2.140625" style="1" customWidth="1"/>
  </cols>
  <sheetData>
    <row r="1" spans="2:13" ht="6" customHeight="1"/>
    <row r="2" spans="2:13" s="2" customFormat="1" ht="22" customHeight="1">
      <c r="B2" s="3" t="s">
        <v>123</v>
      </c>
      <c r="C2" s="3"/>
      <c r="D2" s="3"/>
      <c r="E2" s="3"/>
      <c r="F2" s="3"/>
      <c r="G2" s="3"/>
      <c r="H2" s="3"/>
      <c r="I2" s="3"/>
      <c r="J2" s="3"/>
      <c r="K2" s="3"/>
      <c r="L2" s="2"/>
      <c r="M2" s="2"/>
    </row>
    <row r="3" spans="2:13" s="2" customFormat="1" ht="14" customHeight="1">
      <c r="B3" s="4" t="s">
        <v>124</v>
      </c>
      <c r="C3" s="4"/>
      <c r="D3" s="4"/>
      <c r="E3" s="4"/>
      <c r="F3" s="4"/>
      <c r="G3" s="4"/>
      <c r="H3" s="4"/>
      <c r="I3" s="4"/>
      <c r="J3" s="4"/>
      <c r="K3" s="4"/>
      <c r="L3" s="2"/>
      <c r="M3" s="2"/>
    </row>
    <row r="4" spans="2:13" ht="3" customHeight="1">
      <c r="B4" s="5"/>
      <c r="C4" s="5"/>
      <c r="D4" s="5"/>
      <c r="E4" s="5"/>
      <c r="F4" s="5"/>
      <c r="G4" s="5"/>
      <c r="H4" s="5"/>
      <c r="I4" s="5"/>
      <c r="J4" s="5"/>
      <c r="K4" s="5"/>
      <c r="L4" s="5"/>
      <c r="M4" s="5"/>
    </row>
    <row r="5" spans="2:13" ht="12" customHeight="1">
      <c r="B5" s="6" t="s">
        <v>125</v>
      </c>
    </row>
    <row r="6" spans="2:13" ht="39" customHeight="1">
      <c r="B6" s="7" t="s">
        <v>126</v>
      </c>
      <c r="C6" s="7"/>
      <c r="D6" s="7"/>
      <c r="E6" s="7"/>
      <c r="F6" s="7"/>
      <c r="G6" s="7"/>
      <c r="H6" s="7"/>
      <c r="I6" s="7"/>
      <c r="J6" s="7"/>
      <c r="K6" s="7"/>
      <c r="L6" s="7"/>
      <c r="M6" s="7"/>
    </row>
    <row r="7" spans="2:13" ht="40.5" customHeight="1">
      <c r="B7" s="8" t="s">
        <v>127</v>
      </c>
      <c r="C7" s="8"/>
      <c r="D7" s="8"/>
      <c r="E7" s="8"/>
      <c r="F7" s="8"/>
      <c r="G7" s="8"/>
      <c r="H7" s="8"/>
      <c r="I7" s="8"/>
      <c r="J7" s="8"/>
      <c r="K7" s="8"/>
      <c r="L7" s="8"/>
      <c r="M7" s="8"/>
    </row>
    <row r="8" spans="2:13" ht="6" customHeight="1"/>
    <row r="9" spans="2:13" ht="13" customHeight="1">
      <c r="B9" s="14" t="s">
        <v>128</v>
      </c>
      <c r="C9" s="14"/>
      <c r="D9" s="14"/>
      <c r="E9" s="14"/>
      <c r="F9" s="14"/>
      <c r="G9" s="14"/>
      <c r="H9" s="14" t="s">
        <v>130</v>
      </c>
      <c r="I9" s="14"/>
      <c r="J9" s="14"/>
      <c r="K9" s="14"/>
      <c r="L9" s="14"/>
      <c r="M9" s="14"/>
    </row>
    <row r="10" spans="2:13" ht="22" customHeight="1">
      <c r="B10" s="15" t="s">
        <v>129</v>
      </c>
      <c r="C10" s="15"/>
      <c r="D10" s="15"/>
      <c r="E10" s="15"/>
      <c r="F10" s="15"/>
      <c r="G10" s="15"/>
      <c r="H10" s="15" t="s">
        <v>131</v>
      </c>
      <c r="I10" s="15"/>
      <c r="J10" s="15"/>
      <c r="K10" s="15"/>
      <c r="L10" s="15"/>
      <c r="M10" s="15"/>
    </row>
    <row r="11" spans="2:13" ht="26" customHeight="1">
      <c r="H11" s="19" t="s">
        <v>145</v>
      </c>
      <c r="I11" s="19"/>
      <c r="J11" s="19"/>
      <c r="K11" s="20" t="s">
        <v>146</v>
      </c>
      <c r="L11" s="20" t="s">
        <v>147</v>
      </c>
      <c r="M11" s="20" t="s">
        <v>148</v>
      </c>
    </row>
    <row r="12" spans="2:13" ht="17" customHeight="1">
      <c r="H12" s="21" t="s">
        <v>149</v>
      </c>
      <c r="I12" s="21"/>
      <c r="J12" s="21"/>
      <c r="K12" s="31">
        <v>0.906</v>
      </c>
      <c r="L12" s="31">
        <v>2.671</v>
      </c>
      <c r="M12" s="32" t="s">
        <v>150</v>
      </c>
    </row>
    <row r="13" spans="2:13" ht="17" customHeight="1">
      <c r="H13" s="24" t="s">
        <v>151</v>
      </c>
      <c r="I13" s="24"/>
      <c r="J13" s="24"/>
      <c r="K13" s="33">
        <v>0.395</v>
      </c>
      <c r="L13" s="33">
        <v>0.635</v>
      </c>
      <c r="M13" s="34" t="s">
        <v>152</v>
      </c>
    </row>
    <row r="14" spans="2:13" ht="17" customHeight="1">
      <c r="H14" s="21" t="s">
        <v>153</v>
      </c>
      <c r="I14" s="21"/>
      <c r="J14" s="21"/>
      <c r="K14" s="31">
        <v>0.278</v>
      </c>
      <c r="L14" s="31">
        <v>0.733</v>
      </c>
      <c r="M14" s="32" t="s">
        <v>150</v>
      </c>
    </row>
    <row r="15" spans="2:13" ht="17" customHeight="1">
      <c r="H15" s="24" t="s">
        <v>154</v>
      </c>
      <c r="I15" s="24"/>
      <c r="J15" s="24"/>
      <c r="K15" s="33">
        <v>0.223</v>
      </c>
      <c r="L15" s="33">
        <v>0.529</v>
      </c>
      <c r="M15" s="35" t="s">
        <v>150</v>
      </c>
    </row>
    <row r="16" spans="2:13" ht="17" customHeight="1">
      <c r="H16" s="21" t="s">
        <v>155</v>
      </c>
      <c r="I16" s="21"/>
      <c r="J16" s="21"/>
      <c r="K16" s="31">
        <v>0.121</v>
      </c>
      <c r="L16" s="31">
        <v>0.6</v>
      </c>
      <c r="M16" s="32" t="s">
        <v>150</v>
      </c>
    </row>
    <row r="17" spans="2:13" ht="17" customHeight="1">
      <c r="H17" s="21" t="s">
        <v>156</v>
      </c>
      <c r="I17" s="21"/>
      <c r="J17" s="21"/>
      <c r="K17" s="31">
        <v>0.079</v>
      </c>
      <c r="L17" s="31">
        <v>0.384</v>
      </c>
      <c r="M17" s="32" t="s">
        <v>150</v>
      </c>
    </row>
    <row r="18" spans="2:13" ht="17" customHeight="1">
      <c r="H18" s="21" t="s">
        <v>157</v>
      </c>
      <c r="I18" s="21"/>
      <c r="J18" s="21"/>
      <c r="K18" s="31">
        <v>0.042</v>
      </c>
      <c r="L18" s="31">
        <v>0.549</v>
      </c>
      <c r="M18" s="36" t="s">
        <v>152</v>
      </c>
    </row>
    <row r="19" spans="2:13" ht="17" customHeight="1">
      <c r="H19" s="28" t="s">
        <v>158</v>
      </c>
      <c r="I19" s="28"/>
      <c r="J19" s="28"/>
      <c r="K19" s="28"/>
      <c r="L19" s="28"/>
      <c r="M19" s="28"/>
    </row>
    <row r="20" spans="2:13" ht="17" customHeight="1">
      <c r="H20" s="28"/>
      <c r="I20" s="28"/>
      <c r="J20" s="28"/>
      <c r="K20" s="28"/>
      <c r="L20" s="28"/>
      <c r="M20" s="28"/>
    </row>
    <row r="21" spans="2:13" ht="17" customHeight="1">
      <c r="H21" s="28"/>
      <c r="I21" s="28"/>
      <c r="J21" s="28"/>
      <c r="K21" s="28"/>
      <c r="L21" s="28"/>
      <c r="M21" s="28"/>
    </row>
    <row r="22" spans="2:13" ht="17" customHeight="1">
      <c r="H22" s="28"/>
      <c r="I22" s="28"/>
      <c r="J22" s="28"/>
      <c r="K22" s="28"/>
      <c r="L22" s="28"/>
      <c r="M22" s="28"/>
    </row>
    <row r="23" spans="2:13" ht="8" customHeight="1"/>
    <row r="24" spans="2:13" ht="13" customHeight="1">
      <c r="B24" s="14" t="s">
        <v>159</v>
      </c>
      <c r="C24" s="14"/>
      <c r="D24" s="14"/>
      <c r="E24" s="14"/>
      <c r="F24" s="14"/>
      <c r="G24" s="14"/>
      <c r="H24" s="14" t="s">
        <v>161</v>
      </c>
      <c r="I24" s="14"/>
      <c r="J24" s="14"/>
      <c r="K24" s="14"/>
      <c r="L24" s="14"/>
      <c r="M24" s="14"/>
    </row>
    <row r="25" spans="2:13" ht="22" customHeight="1">
      <c r="B25" s="15" t="s">
        <v>160</v>
      </c>
      <c r="C25" s="15"/>
      <c r="D25" s="15"/>
      <c r="E25" s="15"/>
      <c r="F25" s="15"/>
      <c r="G25" s="15"/>
      <c r="H25" s="15" t="s">
        <v>162</v>
      </c>
      <c r="I25" s="15"/>
      <c r="J25" s="15"/>
      <c r="K25" s="15"/>
      <c r="L25" s="15"/>
      <c r="M25" s="15"/>
    </row>
    <row r="26" spans="2:13" ht="17" customHeight="1"/>
    <row r="27" spans="2:13" ht="17" customHeight="1"/>
    <row r="28" spans="2:13" ht="17" customHeight="1"/>
    <row r="29" spans="2:13" ht="17" customHeight="1"/>
    <row r="30" spans="2:13" ht="17" customHeight="1"/>
    <row r="31" spans="2:13" ht="17" customHeight="1"/>
    <row r="32" spans="2:13" ht="17" customHeight="1"/>
    <row r="33" spans="2:13" ht="17" customHeight="1"/>
    <row r="34" spans="2:13" ht="22" customHeight="1">
      <c r="B34" s="18" t="s">
        <v>173</v>
      </c>
      <c r="C34" s="18"/>
      <c r="D34" s="18"/>
      <c r="E34" s="18"/>
      <c r="F34" s="18"/>
      <c r="G34" s="18"/>
      <c r="H34" s="18"/>
      <c r="I34" s="18"/>
      <c r="J34" s="18"/>
      <c r="K34" s="18"/>
      <c r="L34" s="18"/>
      <c r="M34" s="18"/>
    </row>
  </sheetData>
  <mergeCells count="24">
    <mergeCell ref="B2:K2"/>
    <mergeCell ref="B3:K3"/>
    <mergeCell ref="L2:M3"/>
    <mergeCell ref="B4:M4"/>
    <mergeCell ref="B6:M6"/>
    <mergeCell ref="B7:M7"/>
    <mergeCell ref="B9:G9"/>
    <mergeCell ref="B10:G10"/>
    <mergeCell ref="H9:M9"/>
    <mergeCell ref="H10:M10"/>
    <mergeCell ref="H11:J11"/>
    <mergeCell ref="H12:J12"/>
    <mergeCell ref="H13:J13"/>
    <mergeCell ref="H14:J14"/>
    <mergeCell ref="H15:J15"/>
    <mergeCell ref="H16:J16"/>
    <mergeCell ref="H17:J17"/>
    <mergeCell ref="H18:J18"/>
    <mergeCell ref="H19:M22"/>
    <mergeCell ref="B24:G24"/>
    <mergeCell ref="B25:G25"/>
    <mergeCell ref="H24:M24"/>
    <mergeCell ref="H25:M25"/>
    <mergeCell ref="B34:M34"/>
  </mergeCells>
  <pageMargins left="0.25" right="0.25" top="0.3" bottom="0.25" header="0.3" footer="0.3"/>
  <pageSetup paperSize="9" orientation="landscape"/>
  <drawing r:id="rId1"/>
  <legacyDrawing r:id="rId2"/>
</worksheet>
</file>

<file path=xl/worksheets/sheet6.xml><?xml version="1.0" encoding="utf-8"?>
<worksheet xmlns="http://schemas.openxmlformats.org/spreadsheetml/2006/main" xmlns:r="http://schemas.openxmlformats.org/officeDocument/2006/relationships">
  <sheetPr>
    <tabColor rgb="FFFDAF27"/>
    <pageSetUpPr fitToPage="1"/>
  </sheetPr>
  <dimension ref="A1:AO32"/>
  <sheetViews>
    <sheetView showGridLines="0" zoomScale="85" zoomScaleNormal="85" workbookViewId="0"/>
  </sheetViews>
  <sheetFormatPr defaultRowHeight="15"/>
  <cols>
    <col min="1" max="1" width="2.140625" style="1" customWidth="1"/>
    <col min="2" max="13" width="11.85546875" style="1" customWidth="1"/>
    <col min="14" max="41" width="2.140625" style="1" customWidth="1"/>
  </cols>
  <sheetData>
    <row r="1" spans="2:13" ht="6" customHeight="1"/>
    <row r="2" spans="2:13" s="2" customFormat="1" ht="22" customHeight="1">
      <c r="B2" s="3" t="s">
        <v>174</v>
      </c>
      <c r="C2" s="3"/>
      <c r="D2" s="3"/>
      <c r="E2" s="3"/>
      <c r="F2" s="3"/>
      <c r="G2" s="3"/>
      <c r="H2" s="3"/>
      <c r="I2" s="3"/>
      <c r="J2" s="3"/>
      <c r="K2" s="3"/>
      <c r="L2" s="2"/>
      <c r="M2" s="2"/>
    </row>
    <row r="3" spans="2:13" s="2" customFormat="1" ht="14" customHeight="1">
      <c r="B3" s="4" t="s">
        <v>175</v>
      </c>
      <c r="C3" s="4"/>
      <c r="D3" s="4"/>
      <c r="E3" s="4"/>
      <c r="F3" s="4"/>
      <c r="G3" s="4"/>
      <c r="H3" s="4"/>
      <c r="I3" s="4"/>
      <c r="J3" s="4"/>
      <c r="K3" s="4"/>
      <c r="L3" s="2"/>
      <c r="M3" s="2"/>
    </row>
    <row r="4" spans="2:13" ht="3" customHeight="1">
      <c r="B4" s="5"/>
      <c r="C4" s="5"/>
      <c r="D4" s="5"/>
      <c r="E4" s="5"/>
      <c r="F4" s="5"/>
      <c r="G4" s="5"/>
      <c r="H4" s="5"/>
      <c r="I4" s="5"/>
      <c r="J4" s="5"/>
      <c r="K4" s="5"/>
      <c r="L4" s="5"/>
      <c r="M4" s="5"/>
    </row>
    <row r="5" spans="2:13" ht="12" customHeight="1">
      <c r="B5" s="6" t="s">
        <v>176</v>
      </c>
    </row>
    <row r="6" spans="2:13" ht="39" customHeight="1">
      <c r="B6" s="7" t="s">
        <v>177</v>
      </c>
      <c r="C6" s="7"/>
      <c r="D6" s="7"/>
      <c r="E6" s="7"/>
      <c r="F6" s="7"/>
      <c r="G6" s="7"/>
      <c r="H6" s="7"/>
      <c r="I6" s="7"/>
      <c r="J6" s="7"/>
      <c r="K6" s="7"/>
      <c r="L6" s="7"/>
      <c r="M6" s="7"/>
    </row>
    <row r="7" spans="2:13" ht="28" customHeight="1">
      <c r="B7" s="8" t="s">
        <v>178</v>
      </c>
      <c r="C7" s="8"/>
      <c r="D7" s="8"/>
      <c r="E7" s="8"/>
      <c r="F7" s="8"/>
      <c r="G7" s="8"/>
      <c r="H7" s="8"/>
      <c r="I7" s="8"/>
      <c r="J7" s="8"/>
      <c r="K7" s="8"/>
      <c r="L7" s="8"/>
      <c r="M7" s="8"/>
    </row>
    <row r="8" spans="2:13" ht="6" customHeight="1"/>
    <row r="9" spans="2:13" ht="22" customHeight="1">
      <c r="B9" s="37" t="s">
        <v>179</v>
      </c>
      <c r="C9" s="38" t="s">
        <v>180</v>
      </c>
      <c r="D9" s="38"/>
      <c r="E9" s="37" t="s">
        <v>181</v>
      </c>
      <c r="F9" s="38" t="s">
        <v>37</v>
      </c>
      <c r="G9" s="38"/>
      <c r="H9" s="39" t="s">
        <v>182</v>
      </c>
      <c r="I9" s="39"/>
      <c r="J9" s="39"/>
      <c r="K9" s="39"/>
      <c r="L9" s="39"/>
      <c r="M9" s="39"/>
    </row>
    <row r="10" spans="2:13" ht="6" customHeight="1"/>
    <row r="11" spans="2:13" ht="13" customHeight="1">
      <c r="B11" s="14" t="s">
        <v>205</v>
      </c>
      <c r="C11" s="14"/>
      <c r="D11" s="14"/>
      <c r="E11" s="14"/>
      <c r="F11" s="14"/>
      <c r="G11" s="14"/>
      <c r="H11" s="14"/>
      <c r="I11" s="14" t="s">
        <v>207</v>
      </c>
      <c r="J11" s="14"/>
      <c r="K11" s="14"/>
      <c r="L11" s="14"/>
      <c r="M11" s="14"/>
    </row>
    <row r="12" spans="2:13" ht="22" customHeight="1">
      <c r="B12" s="15" t="s">
        <v>206</v>
      </c>
      <c r="C12" s="15"/>
      <c r="D12" s="15"/>
      <c r="E12" s="15"/>
      <c r="F12" s="15"/>
      <c r="G12" s="15"/>
      <c r="H12" s="15"/>
      <c r="I12" s="15" t="s">
        <v>208</v>
      </c>
      <c r="J12" s="15"/>
      <c r="K12" s="15"/>
      <c r="L12" s="15"/>
      <c r="M12" s="15"/>
    </row>
    <row r="13" spans="2:13" ht="19.5" customHeight="1">
      <c r="I13" s="19" t="s">
        <v>209</v>
      </c>
      <c r="J13" s="19"/>
      <c r="K13" s="19"/>
      <c r="L13" s="20" t="s">
        <v>210</v>
      </c>
      <c r="M13" s="20"/>
    </row>
    <row r="14" spans="2:13" ht="19.5" customHeight="1">
      <c r="I14" s="21" t="s">
        <v>211</v>
      </c>
      <c r="J14" s="21"/>
      <c r="K14" s="21"/>
      <c r="L14" s="40">
        <f>(_src!$U$2-_src!$U$1)+1</f>
        <v>24</v>
      </c>
      <c r="M14" s="40"/>
    </row>
    <row r="15" spans="2:13" ht="19.5" customHeight="1">
      <c r="I15" s="21"/>
      <c r="J15" s="21"/>
      <c r="K15" s="21"/>
      <c r="L15" s="40"/>
      <c r="M15" s="40"/>
    </row>
    <row r="16" spans="2:13" ht="19.5" customHeight="1">
      <c r="I16" s="21" t="s">
        <v>212</v>
      </c>
      <c r="J16" s="21"/>
      <c r="K16" s="21"/>
      <c r="L16" s="41">
        <f>INDEX(_src!$C$81:$C$104,_src!$U$1)</f>
        <v>0.0972</v>
      </c>
      <c r="M16" s="41"/>
    </row>
    <row r="17" spans="2:13" ht="19.5" customHeight="1">
      <c r="I17" s="21"/>
      <c r="J17" s="21"/>
      <c r="K17" s="21"/>
      <c r="L17" s="41"/>
      <c r="M17" s="41"/>
    </row>
    <row r="18" spans="2:13" ht="19.5" customHeight="1">
      <c r="I18" s="21" t="s">
        <v>213</v>
      </c>
      <c r="J18" s="21"/>
      <c r="K18" s="21"/>
      <c r="L18" s="41">
        <f>INDEX(_src!$C$81:$C$104,_src!$U$2)</f>
        <v>0.1165</v>
      </c>
      <c r="M18" s="41"/>
    </row>
    <row r="19" spans="2:13" ht="19.5" customHeight="1">
      <c r="I19" s="21"/>
      <c r="J19" s="21"/>
      <c r="K19" s="21"/>
      <c r="L19" s="41"/>
      <c r="M19" s="41"/>
    </row>
    <row r="20" spans="2:13" ht="19.5" customHeight="1">
      <c r="I20" s="24" t="s">
        <v>214</v>
      </c>
      <c r="J20" s="24"/>
      <c r="K20" s="24"/>
      <c r="L20" s="42">
        <f>(INDEX(_src!$C$81:$C$104,_src!$U$2)-INDEX(_src!$C$81:$C$104,_src!$U$1))*100</f>
        <v>1.93</v>
      </c>
      <c r="M20" s="42"/>
    </row>
    <row r="21" spans="2:13" ht="19.5" customHeight="1">
      <c r="I21" s="24"/>
      <c r="J21" s="24"/>
      <c r="K21" s="24"/>
      <c r="L21" s="42"/>
      <c r="M21" s="42"/>
    </row>
    <row r="22" spans="2:13" ht="19.5" customHeight="1">
      <c r="I22" s="21" t="s">
        <v>215</v>
      </c>
      <c r="J22" s="21"/>
      <c r="K22" s="21"/>
      <c r="L22" s="43">
        <f>AVERAGEIFS(_src!$D$81:$D$104,_src!$B$81:$B$104,"&gt;="&amp;_src!$U$1,_src!$B$81:$B$104,"&lt;="&amp;_src!$U$2)</f>
        <v>31.2</v>
      </c>
      <c r="M22" s="43"/>
    </row>
    <row r="23" spans="2:13" ht="19.5" customHeight="1">
      <c r="I23" s="21"/>
      <c r="J23" s="21"/>
      <c r="K23" s="21"/>
      <c r="L23" s="43"/>
      <c r="M23" s="43"/>
    </row>
    <row r="24" spans="2:13" ht="19.5" customHeight="1">
      <c r="I24" s="24" t="s">
        <v>216</v>
      </c>
      <c r="J24" s="24"/>
      <c r="K24" s="24"/>
      <c r="L24" s="44" t="str">
        <f>INDEX(_src!$A$81:$A$104,MATCH(MAX(INDEX(_src!$C$81:$C$104,_src!$U$1):INDEX(_src!$C$81:$C$104,_src!$U$2)),INDEX(_src!$C$81:$C$104,_src!$U$1):INDEX(_src!$C$81:$C$104,_src!$U$2),0)+_src!$U$1-1)</f>
        <v>Sep-23</v>
      </c>
      <c r="M24" s="44"/>
    </row>
    <row r="25" spans="2:13" ht="19.5" customHeight="1">
      <c r="I25" s="24"/>
      <c r="J25" s="24"/>
      <c r="K25" s="24"/>
      <c r="L25" s="44"/>
      <c r="M25" s="44"/>
    </row>
    <row r="26" spans="2:13" ht="19.5" customHeight="1"/>
    <row r="27" spans="2:13" ht="12" customHeight="1"/>
    <row r="28" spans="2:13" ht="17.5" customHeight="1">
      <c r="B28" s="17" t="s">
        <v>217</v>
      </c>
      <c r="C28" s="17"/>
      <c r="D28" s="17"/>
      <c r="E28" s="17"/>
      <c r="F28" s="17"/>
      <c r="G28" s="17"/>
      <c r="H28" s="17" t="s">
        <v>218</v>
      </c>
      <c r="I28" s="17"/>
      <c r="J28" s="17"/>
      <c r="K28" s="17"/>
      <c r="L28" s="17"/>
      <c r="M28" s="17"/>
    </row>
    <row r="29" spans="2:13" ht="17.5" customHeight="1">
      <c r="B29" s="17"/>
      <c r="C29" s="17"/>
      <c r="D29" s="17"/>
      <c r="E29" s="17"/>
      <c r="F29" s="17"/>
      <c r="G29" s="17"/>
      <c r="H29" s="17"/>
      <c r="I29" s="17"/>
      <c r="J29" s="17"/>
      <c r="K29" s="17"/>
      <c r="L29" s="17"/>
      <c r="M29" s="17"/>
    </row>
    <row r="30" spans="2:13" ht="17.5" customHeight="1">
      <c r="B30" s="17"/>
      <c r="C30" s="17"/>
      <c r="D30" s="17"/>
      <c r="E30" s="17"/>
      <c r="F30" s="17"/>
      <c r="G30" s="17"/>
      <c r="H30" s="17"/>
      <c r="I30" s="17"/>
      <c r="J30" s="17"/>
      <c r="K30" s="17"/>
      <c r="L30" s="17"/>
      <c r="M30" s="17"/>
    </row>
    <row r="31" spans="2:13" ht="17.5" customHeight="1">
      <c r="B31" s="17"/>
      <c r="C31" s="17"/>
      <c r="D31" s="17"/>
      <c r="E31" s="17"/>
      <c r="F31" s="17"/>
      <c r="G31" s="17"/>
      <c r="H31" s="17"/>
      <c r="I31" s="17"/>
      <c r="J31" s="17"/>
      <c r="K31" s="17"/>
      <c r="L31" s="17"/>
      <c r="M31" s="17"/>
    </row>
    <row r="32" spans="2:13" ht="18" customHeight="1">
      <c r="B32" s="18" t="s">
        <v>219</v>
      </c>
      <c r="C32" s="18"/>
      <c r="D32" s="18"/>
      <c r="E32" s="18"/>
      <c r="F32" s="18"/>
      <c r="G32" s="18"/>
      <c r="H32" s="18"/>
      <c r="I32" s="18"/>
      <c r="J32" s="18"/>
      <c r="K32" s="18"/>
      <c r="L32" s="18"/>
      <c r="M32" s="18"/>
    </row>
  </sheetData>
  <mergeCells count="30">
    <mergeCell ref="B2:K2"/>
    <mergeCell ref="B3:K3"/>
    <mergeCell ref="L2:M3"/>
    <mergeCell ref="B4:M4"/>
    <mergeCell ref="B6:M6"/>
    <mergeCell ref="B7:M7"/>
    <mergeCell ref="C9:D9"/>
    <mergeCell ref="F9:G9"/>
    <mergeCell ref="H9:M9"/>
    <mergeCell ref="B11:H11"/>
    <mergeCell ref="B12:H12"/>
    <mergeCell ref="I11:M11"/>
    <mergeCell ref="I12:M12"/>
    <mergeCell ref="I13:K13"/>
    <mergeCell ref="L13:M13"/>
    <mergeCell ref="I14:K15"/>
    <mergeCell ref="L14:M15"/>
    <mergeCell ref="I16:K17"/>
    <mergeCell ref="L16:M17"/>
    <mergeCell ref="I18:K19"/>
    <mergeCell ref="L18:M19"/>
    <mergeCell ref="I20:K21"/>
    <mergeCell ref="L20:M21"/>
    <mergeCell ref="I22:K23"/>
    <mergeCell ref="L22:M23"/>
    <mergeCell ref="I24:K25"/>
    <mergeCell ref="L24:M25"/>
    <mergeCell ref="B28:G31"/>
    <mergeCell ref="H28:M31"/>
    <mergeCell ref="B32:M32"/>
  </mergeCells>
  <dataValidations count="2">
    <dataValidation type="list" allowBlank="1" showInputMessage="1" showErrorMessage="1" promptTitle="Bulan awal" prompt="Pilih bulan laporan SLIK paling awal." sqref="C9:D9">
      <formula1>"Nov-21,Dec-21,Jan-22,Feb-22,Mar-22,Apr-22,May-22,Jun-22,Jul-22,Aug-22,Sep-22,Oct-22,Nov-22,Dec-22,Jan-23,Feb-23,Mar-23,Apr-23,May-23,Jun-23,Jul-23,Aug-23,Sep-23,Oct-23"</formula1>
    </dataValidation>
    <dataValidation type="list" allowBlank="1" showInputMessage="1" showErrorMessage="1" promptTitle="Bulan akhir" prompt="Pilih bulan laporan SLIK paling akhir." sqref="F9:G9">
      <formula1>"Nov-21,Dec-21,Jan-22,Feb-22,Mar-22,Apr-22,May-22,Jun-22,Jul-22,Aug-22,Sep-22,Oct-22,Nov-22,Dec-22,Jan-23,Feb-23,Mar-23,Apr-23,May-23,Jun-23,Jul-23,Aug-23,Sep-23,Oct-23"</formula1>
    </dataValidation>
  </dataValidations>
  <pageMargins left="0.25" right="0.25" top="0.3" bottom="0.25" header="0.3" footer="0.3"/>
  <pageSetup paperSize="9" orientation="landscape"/>
  <drawing r:id="rId1"/>
</worksheet>
</file>

<file path=xl/worksheets/sheet7.xml><?xml version="1.0" encoding="utf-8"?>
<worksheet xmlns="http://schemas.openxmlformats.org/spreadsheetml/2006/main" xmlns:r="http://schemas.openxmlformats.org/officeDocument/2006/relationships">
  <sheetPr>
    <tabColor rgb="FFFDAF27"/>
    <pageSetUpPr fitToPage="1"/>
  </sheetPr>
  <dimension ref="A1:AO34"/>
  <sheetViews>
    <sheetView showGridLines="0" zoomScale="85" zoomScaleNormal="85" workbookViewId="0"/>
  </sheetViews>
  <sheetFormatPr defaultRowHeight="15"/>
  <cols>
    <col min="1" max="1" width="2.140625" style="1" customWidth="1"/>
    <col min="2" max="13" width="11.85546875" style="1" customWidth="1"/>
    <col min="14" max="41" width="2.140625" style="1" customWidth="1"/>
  </cols>
  <sheetData>
    <row r="1" spans="2:13" ht="6" customHeight="1"/>
    <row r="2" spans="2:13" s="2" customFormat="1" ht="22" customHeight="1">
      <c r="B2" s="3" t="s">
        <v>220</v>
      </c>
      <c r="C2" s="3"/>
      <c r="D2" s="3"/>
      <c r="E2" s="3"/>
      <c r="F2" s="3"/>
      <c r="G2" s="3"/>
      <c r="H2" s="3"/>
      <c r="I2" s="3"/>
      <c r="J2" s="3"/>
      <c r="K2" s="3"/>
      <c r="L2" s="2"/>
      <c r="M2" s="2"/>
    </row>
    <row r="3" spans="2:13" s="2" customFormat="1" ht="14" customHeight="1">
      <c r="B3" s="4" t="s">
        <v>221</v>
      </c>
      <c r="C3" s="4"/>
      <c r="D3" s="4"/>
      <c r="E3" s="4"/>
      <c r="F3" s="4"/>
      <c r="G3" s="4"/>
      <c r="H3" s="4"/>
      <c r="I3" s="4"/>
      <c r="J3" s="4"/>
      <c r="K3" s="4"/>
      <c r="L3" s="2"/>
      <c r="M3" s="2"/>
    </row>
    <row r="4" spans="2:13" ht="3" customHeight="1">
      <c r="B4" s="5"/>
      <c r="C4" s="5"/>
      <c r="D4" s="5"/>
      <c r="E4" s="5"/>
      <c r="F4" s="5"/>
      <c r="G4" s="5"/>
      <c r="H4" s="5"/>
      <c r="I4" s="5"/>
      <c r="J4" s="5"/>
      <c r="K4" s="5"/>
      <c r="L4" s="5"/>
      <c r="M4" s="5"/>
    </row>
    <row r="5" spans="2:13" ht="12" customHeight="1">
      <c r="B5" s="6" t="s">
        <v>222</v>
      </c>
    </row>
    <row r="6" spans="2:13" ht="39" customHeight="1">
      <c r="B6" s="7" t="s">
        <v>223</v>
      </c>
      <c r="C6" s="7"/>
      <c r="D6" s="7"/>
      <c r="E6" s="7"/>
      <c r="F6" s="7"/>
      <c r="G6" s="7"/>
      <c r="H6" s="7"/>
      <c r="I6" s="7"/>
      <c r="J6" s="7"/>
      <c r="K6" s="7"/>
      <c r="L6" s="7"/>
      <c r="M6" s="7"/>
    </row>
    <row r="7" spans="2:13" ht="28" customHeight="1">
      <c r="B7" s="8" t="s">
        <v>224</v>
      </c>
      <c r="C7" s="8"/>
      <c r="D7" s="8"/>
      <c r="E7" s="8"/>
      <c r="F7" s="8"/>
      <c r="G7" s="8"/>
      <c r="H7" s="8"/>
      <c r="I7" s="8"/>
      <c r="J7" s="8"/>
      <c r="K7" s="8"/>
      <c r="L7" s="8"/>
      <c r="M7" s="8"/>
    </row>
    <row r="8" spans="2:13" ht="6" customHeight="1"/>
    <row r="9" spans="2:13" ht="13" customHeight="1">
      <c r="B9" s="14" t="s">
        <v>225</v>
      </c>
      <c r="C9" s="14"/>
      <c r="D9" s="14"/>
      <c r="E9" s="14"/>
      <c r="F9" s="14"/>
      <c r="G9" s="14"/>
      <c r="H9" s="14" t="s">
        <v>227</v>
      </c>
      <c r="I9" s="14"/>
      <c r="J9" s="14"/>
      <c r="K9" s="14"/>
      <c r="L9" s="14"/>
      <c r="M9" s="14"/>
    </row>
    <row r="10" spans="2:13" ht="22" customHeight="1">
      <c r="B10" s="15" t="s">
        <v>226</v>
      </c>
      <c r="C10" s="15"/>
      <c r="D10" s="15"/>
      <c r="E10" s="15"/>
      <c r="F10" s="15"/>
      <c r="G10" s="15"/>
      <c r="H10" s="15" t="s">
        <v>228</v>
      </c>
      <c r="I10" s="15"/>
      <c r="J10" s="15"/>
      <c r="K10" s="15"/>
      <c r="L10" s="15"/>
      <c r="M10" s="15"/>
    </row>
    <row r="11" spans="2:13" ht="17" customHeight="1"/>
    <row r="12" spans="2:13" ht="17" customHeight="1"/>
    <row r="13" spans="2:13" ht="17" customHeight="1"/>
    <row r="14" spans="2:13" ht="17" customHeight="1"/>
    <row r="15" spans="2:13" ht="17" customHeight="1"/>
    <row r="16" spans="2:13" ht="17" customHeight="1"/>
    <row r="17" spans="2:13" ht="17" customHeight="1"/>
    <row r="18" spans="2:13" ht="17" customHeight="1"/>
    <row r="19" spans="2:13" ht="17" customHeight="1"/>
    <row r="20" spans="2:13" ht="17" customHeight="1"/>
    <row r="21" spans="2:13" ht="17" customHeight="1"/>
    <row r="22" spans="2:13" ht="17" customHeight="1"/>
    <row r="23" spans="2:13" ht="17" customHeight="1"/>
    <row r="24" spans="2:13" ht="8" customHeight="1"/>
    <row r="25" spans="2:13" ht="13" customHeight="1">
      <c r="B25" s="14" t="s">
        <v>246</v>
      </c>
      <c r="C25" s="14"/>
      <c r="D25" s="14"/>
      <c r="E25" s="14"/>
      <c r="F25" s="14"/>
      <c r="G25" s="14"/>
      <c r="H25" s="14"/>
      <c r="I25" s="14"/>
      <c r="J25" s="14"/>
      <c r="K25" s="14"/>
      <c r="L25" s="14"/>
      <c r="M25" s="14"/>
    </row>
    <row r="26" spans="2:13" ht="22" customHeight="1">
      <c r="B26" s="15" t="s">
        <v>247</v>
      </c>
      <c r="C26" s="15"/>
      <c r="D26" s="15"/>
      <c r="E26" s="15"/>
      <c r="F26" s="15"/>
      <c r="G26" s="15"/>
      <c r="H26" s="15"/>
      <c r="I26" s="15"/>
      <c r="J26" s="15"/>
      <c r="K26" s="15"/>
      <c r="L26" s="15"/>
      <c r="M26" s="15"/>
    </row>
    <row r="27" spans="2:13" ht="28" customHeight="1">
      <c r="B27" s="19" t="s">
        <v>248</v>
      </c>
      <c r="C27" s="19"/>
      <c r="D27" s="19"/>
      <c r="E27" s="20" t="s">
        <v>249</v>
      </c>
      <c r="F27" s="20" t="s">
        <v>250</v>
      </c>
      <c r="G27" s="20" t="s">
        <v>251</v>
      </c>
      <c r="H27" s="20" t="s">
        <v>252</v>
      </c>
      <c r="I27" s="20" t="s">
        <v>253</v>
      </c>
      <c r="J27" s="19" t="s">
        <v>254</v>
      </c>
      <c r="K27" s="19"/>
      <c r="L27" s="19"/>
      <c r="M27" s="19"/>
    </row>
    <row r="28" spans="2:13" ht="21" customHeight="1">
      <c r="B28" s="21" t="s">
        <v>255</v>
      </c>
      <c r="C28" s="21"/>
      <c r="D28" s="21"/>
      <c r="E28" s="22">
        <v>196</v>
      </c>
      <c r="F28" s="22">
        <v>30</v>
      </c>
      <c r="G28" s="30">
        <v>0.1531</v>
      </c>
      <c r="H28" s="30">
        <v>0.1094</v>
      </c>
      <c r="I28" s="30">
        <v>0.2101</v>
      </c>
      <c r="J28" s="45" t="s">
        <v>256</v>
      </c>
      <c r="K28" s="45"/>
      <c r="L28" s="45"/>
      <c r="M28" s="45"/>
    </row>
    <row r="29" spans="2:13" ht="21" customHeight="1">
      <c r="B29" s="21" t="s">
        <v>257</v>
      </c>
      <c r="C29" s="21"/>
      <c r="D29" s="21"/>
      <c r="E29" s="22">
        <v>391</v>
      </c>
      <c r="F29" s="22">
        <v>52</v>
      </c>
      <c r="G29" s="30">
        <v>0.133</v>
      </c>
      <c r="H29" s="30">
        <v>0.1029</v>
      </c>
      <c r="I29" s="30">
        <v>0.1702</v>
      </c>
      <c r="J29" s="45" t="s">
        <v>258</v>
      </c>
      <c r="K29" s="45"/>
      <c r="L29" s="45"/>
      <c r="M29" s="45"/>
    </row>
    <row r="30" spans="2:13" ht="21" customHeight="1">
      <c r="B30" s="24" t="s">
        <v>259</v>
      </c>
      <c r="C30" s="24"/>
      <c r="D30" s="24"/>
      <c r="E30" s="22">
        <v>259</v>
      </c>
      <c r="F30" s="22">
        <v>44</v>
      </c>
      <c r="G30" s="27">
        <v>0.1699</v>
      </c>
      <c r="H30" s="30">
        <v>0.1291</v>
      </c>
      <c r="I30" s="30">
        <v>0.2204</v>
      </c>
      <c r="J30" s="45" t="s">
        <v>260</v>
      </c>
      <c r="K30" s="45"/>
      <c r="L30" s="45"/>
      <c r="M30" s="45"/>
    </row>
    <row r="31" spans="2:13" ht="21" customHeight="1">
      <c r="B31" s="21" t="s">
        <v>261</v>
      </c>
      <c r="C31" s="21"/>
      <c r="D31" s="21"/>
      <c r="E31" s="22">
        <v>317</v>
      </c>
      <c r="F31" s="22">
        <v>37</v>
      </c>
      <c r="G31" s="30">
        <v>0.1167</v>
      </c>
      <c r="H31" s="30">
        <v>0.0859</v>
      </c>
      <c r="I31" s="30">
        <v>0.1567</v>
      </c>
      <c r="J31" s="45" t="s">
        <v>262</v>
      </c>
      <c r="K31" s="45"/>
      <c r="L31" s="45"/>
      <c r="M31" s="45"/>
    </row>
    <row r="32" spans="2:13" ht="21" customHeight="1">
      <c r="B32" s="21" t="s">
        <v>263</v>
      </c>
      <c r="C32" s="21"/>
      <c r="D32" s="21"/>
      <c r="E32" s="22">
        <v>11</v>
      </c>
      <c r="F32" s="22">
        <v>1</v>
      </c>
      <c r="G32" s="30">
        <v>0.09089999999999999</v>
      </c>
      <c r="H32" s="30">
        <v>0.0162</v>
      </c>
      <c r="I32" s="30">
        <v>0.3774</v>
      </c>
      <c r="J32" s="45" t="s">
        <v>264</v>
      </c>
      <c r="K32" s="45"/>
      <c r="L32" s="45"/>
      <c r="M32" s="45"/>
    </row>
    <row r="33" spans="2:13" ht="6" customHeight="1"/>
    <row r="34" spans="2:13" ht="20" customHeight="1">
      <c r="B34" s="18" t="s">
        <v>265</v>
      </c>
      <c r="C34" s="18"/>
      <c r="D34" s="18"/>
      <c r="E34" s="18"/>
      <c r="F34" s="18"/>
      <c r="G34" s="18"/>
      <c r="H34" s="18"/>
      <c r="I34" s="18"/>
      <c r="J34" s="18"/>
      <c r="K34" s="18"/>
      <c r="L34" s="18"/>
      <c r="M34" s="18"/>
    </row>
  </sheetData>
  <mergeCells count="25">
    <mergeCell ref="B2:K2"/>
    <mergeCell ref="B3:K3"/>
    <mergeCell ref="L2:M3"/>
    <mergeCell ref="B4:M4"/>
    <mergeCell ref="B6:M6"/>
    <mergeCell ref="B7:M7"/>
    <mergeCell ref="B9:G9"/>
    <mergeCell ref="B10:G10"/>
    <mergeCell ref="H9:M9"/>
    <mergeCell ref="H10:M10"/>
    <mergeCell ref="B25:M25"/>
    <mergeCell ref="B26:M26"/>
    <mergeCell ref="B27:D27"/>
    <mergeCell ref="J27:M27"/>
    <mergeCell ref="B28:D28"/>
    <mergeCell ref="J28:M28"/>
    <mergeCell ref="B29:D29"/>
    <mergeCell ref="J29:M29"/>
    <mergeCell ref="B30:D30"/>
    <mergeCell ref="J30:M30"/>
    <mergeCell ref="B31:D31"/>
    <mergeCell ref="J31:M31"/>
    <mergeCell ref="B32:D32"/>
    <mergeCell ref="J32:M32"/>
    <mergeCell ref="B34:M34"/>
  </mergeCells>
  <pageMargins left="0.25" right="0.25" top="0.3" bottom="0.25" header="0.3" footer="0.3"/>
  <pageSetup paperSize="9" orientation="landscape"/>
  <drawing r:id="rId1"/>
</worksheet>
</file>

<file path=xl/worksheets/sheet8.xml><?xml version="1.0" encoding="utf-8"?>
<worksheet xmlns="http://schemas.openxmlformats.org/spreadsheetml/2006/main" xmlns:r="http://schemas.openxmlformats.org/officeDocument/2006/relationships">
  <sheetPr>
    <tabColor rgb="FFFDAF27"/>
    <pageSetUpPr fitToPage="1"/>
  </sheetPr>
  <dimension ref="A1:AO34"/>
  <sheetViews>
    <sheetView showGridLines="0" zoomScale="85" zoomScaleNormal="85" workbookViewId="0"/>
  </sheetViews>
  <sheetFormatPr defaultRowHeight="15"/>
  <cols>
    <col min="1" max="1" width="2.140625" style="1" customWidth="1"/>
    <col min="2" max="13" width="11.85546875" style="1" customWidth="1"/>
    <col min="14" max="41" width="2.140625" style="1" customWidth="1"/>
  </cols>
  <sheetData>
    <row r="1" spans="2:13" ht="6" customHeight="1"/>
    <row r="2" spans="2:13" s="2" customFormat="1" ht="22" customHeight="1">
      <c r="B2" s="3" t="s">
        <v>266</v>
      </c>
      <c r="C2" s="3"/>
      <c r="D2" s="3"/>
      <c r="E2" s="3"/>
      <c r="F2" s="3"/>
      <c r="G2" s="3"/>
      <c r="H2" s="3"/>
      <c r="I2" s="3"/>
      <c r="J2" s="3"/>
      <c r="K2" s="3"/>
      <c r="L2" s="2"/>
      <c r="M2" s="2"/>
    </row>
    <row r="3" spans="2:13" s="2" customFormat="1" ht="14" customHeight="1">
      <c r="B3" s="4" t="s">
        <v>267</v>
      </c>
      <c r="C3" s="4"/>
      <c r="D3" s="4"/>
      <c r="E3" s="4"/>
      <c r="F3" s="4"/>
      <c r="G3" s="4"/>
      <c r="H3" s="4"/>
      <c r="I3" s="4"/>
      <c r="J3" s="4"/>
      <c r="K3" s="4"/>
      <c r="L3" s="2"/>
      <c r="M3" s="2"/>
    </row>
    <row r="4" spans="2:13" ht="3" customHeight="1">
      <c r="B4" s="5"/>
      <c r="C4" s="5"/>
      <c r="D4" s="5"/>
      <c r="E4" s="5"/>
      <c r="F4" s="5"/>
      <c r="G4" s="5"/>
      <c r="H4" s="5"/>
      <c r="I4" s="5"/>
      <c r="J4" s="5"/>
      <c r="K4" s="5"/>
      <c r="L4" s="5"/>
      <c r="M4" s="5"/>
    </row>
    <row r="5" spans="2:13" ht="12" customHeight="1">
      <c r="B5" s="6" t="s">
        <v>268</v>
      </c>
    </row>
    <row r="6" spans="2:13" ht="39" customHeight="1">
      <c r="B6" s="7" t="s">
        <v>269</v>
      </c>
      <c r="C6" s="7"/>
      <c r="D6" s="7"/>
      <c r="E6" s="7"/>
      <c r="F6" s="7"/>
      <c r="G6" s="7"/>
      <c r="H6" s="7"/>
      <c r="I6" s="7"/>
      <c r="J6" s="7"/>
      <c r="K6" s="7"/>
      <c r="L6" s="7"/>
      <c r="M6" s="7"/>
    </row>
    <row r="7" spans="2:13" ht="28" customHeight="1">
      <c r="B7" s="8" t="s">
        <v>270</v>
      </c>
      <c r="C7" s="8"/>
      <c r="D7" s="8"/>
      <c r="E7" s="8"/>
      <c r="F7" s="8"/>
      <c r="G7" s="8"/>
      <c r="H7" s="8"/>
      <c r="I7" s="8"/>
      <c r="J7" s="8"/>
      <c r="K7" s="8"/>
      <c r="L7" s="8"/>
      <c r="M7" s="8"/>
    </row>
    <row r="8" spans="2:13" ht="6" customHeight="1"/>
    <row r="9" spans="2:13" ht="14" customHeight="1">
      <c r="B9" s="46" t="s">
        <v>271</v>
      </c>
      <c r="C9" s="46"/>
      <c r="D9" s="46"/>
      <c r="E9" s="46" t="s">
        <v>273</v>
      </c>
      <c r="F9" s="46"/>
      <c r="G9" s="46"/>
      <c r="H9" s="46" t="s">
        <v>274</v>
      </c>
      <c r="I9" s="46"/>
      <c r="J9" s="46"/>
      <c r="K9" s="46" t="s">
        <v>275</v>
      </c>
      <c r="L9" s="46"/>
      <c r="M9" s="46"/>
    </row>
    <row r="10" spans="2:13" ht="24" customHeight="1">
      <c r="B10" s="38" t="s">
        <v>272</v>
      </c>
      <c r="C10" s="38"/>
      <c r="D10" s="38"/>
      <c r="E10" s="38">
        <v>2</v>
      </c>
      <c r="F10" s="38"/>
      <c r="G10" s="38"/>
      <c r="H10" s="38">
        <v>9999</v>
      </c>
      <c r="I10" s="38"/>
      <c r="J10" s="38"/>
      <c r="K10" s="38" t="s">
        <v>276</v>
      </c>
      <c r="L10" s="38"/>
      <c r="M10" s="38"/>
    </row>
    <row r="11" spans="2:13" ht="8" customHeight="1"/>
    <row r="12" spans="2:13" ht="13" customHeight="1">
      <c r="B12" s="14" t="s">
        <v>277</v>
      </c>
      <c r="C12" s="14"/>
      <c r="D12" s="14"/>
      <c r="E12" s="14"/>
      <c r="F12" s="14"/>
      <c r="G12" s="14"/>
      <c r="H12" s="14"/>
      <c r="I12" s="14"/>
      <c r="J12" s="14"/>
      <c r="K12" s="14"/>
      <c r="L12" s="14"/>
      <c r="M12" s="14"/>
    </row>
    <row r="13" spans="2:13" ht="22" customHeight="1">
      <c r="B13" s="15" t="s">
        <v>278</v>
      </c>
      <c r="C13" s="15"/>
      <c r="D13" s="15"/>
      <c r="E13" s="15"/>
      <c r="F13" s="15"/>
      <c r="G13" s="15"/>
      <c r="H13" s="15"/>
      <c r="I13" s="15"/>
      <c r="J13" s="15"/>
      <c r="K13" s="15"/>
      <c r="L13" s="15"/>
      <c r="M13" s="15"/>
    </row>
    <row r="14" spans="2:13" ht="14" customHeight="1">
      <c r="B14" s="9" t="s">
        <v>279</v>
      </c>
      <c r="C14" s="9"/>
      <c r="D14" s="9"/>
      <c r="E14" s="9" t="s">
        <v>281</v>
      </c>
      <c r="F14" s="9"/>
      <c r="G14" s="9"/>
      <c r="H14" s="9" t="s">
        <v>283</v>
      </c>
      <c r="I14" s="9"/>
      <c r="J14" s="9"/>
      <c r="K14" s="9" t="s">
        <v>285</v>
      </c>
      <c r="L14" s="9"/>
      <c r="M14" s="9"/>
    </row>
    <row r="15" spans="2:13" ht="26" customHeight="1">
      <c r="B15" s="10">
        <f>SUMPRODUCT((('data_customer'!$B$2:$B$588=$B$10)+($B$10="Semua")&gt;0)*('data_customer'!$H$2:$H$588&lt;=$E$10)*('data_customer'!$I$2:$I$588&lt;=$H$10)*(('data_customer'!$C$2:$C$588=$K$10)+($K$10="Semua")&gt;0))</f>
        <v>490</v>
      </c>
      <c r="C15" s="10"/>
      <c r="D15" s="10"/>
      <c r="E15" s="47">
        <f>SUMPRODUCT((('data_customer'!$B$2:$B$588=$B$10)+($B$10="Semua")&gt;0)*('data_customer'!$H$2:$H$588&lt;=$E$10)*('data_customer'!$I$2:$I$588&lt;=$H$10)*(('data_customer'!$C$2:$C$588=$K$10)+($K$10="Semua")&gt;0))/587</f>
        <v>0.8348</v>
      </c>
      <c r="F15" s="47"/>
      <c r="G15" s="47"/>
      <c r="H15" s="11">
        <f>SUMPRODUCT((('data_customer'!$B$2:$B$588=$B$10)+($B$10="Semua")&gt;0)*('data_customer'!$H$2:$H$588&lt;=$E$10)*('data_customer'!$I$2:$I$588&lt;=$H$10)*(('data_customer'!$C$2:$C$588=$K$10)+($K$10="Semua")&gt;0)*'data_customer'!$Q$2:$Q$588)</f>
        <v>0</v>
      </c>
      <c r="I15" s="11"/>
      <c r="J15" s="11"/>
      <c r="K15" s="47">
        <f>IF(SUMPRODUCT((('data_customer'!$B$2:$B$588=$B$10)+($B$10="Semua")&gt;0)*('data_customer'!$H$2:$H$588&lt;=$E$10)*('data_customer'!$I$2:$I$588&lt;=$H$10)*(('data_customer'!$C$2:$C$588=$K$10)+($K$10="Semua")&gt;0))=0,0,SUMPRODUCT((('data_customer'!$B$2:$B$588=$B$10)+($B$10="Semua")&gt;0)*('data_customer'!$H$2:$H$588&lt;=$E$10)*('data_customer'!$I$2:$I$588&lt;=$H$10)*(('data_customer'!$C$2:$C$588=$K$10)+($K$10="Semua")&gt;0)*'data_customer'!$R$2:$R$588)/SUMPRODUCT((('data_customer'!$B$2:$B$588=$B$10)+($B$10="Semua")&gt;0)*('data_customer'!$H$2:$H$588&lt;=$E$10)*('data_customer'!$I$2:$I$588&lt;=$H$10)*(('data_customer'!$C$2:$C$588=$K$10)+($K$10="Semua")&gt;0)))</f>
        <v>0.0</v>
      </c>
      <c r="L15" s="47"/>
      <c r="M15" s="47"/>
    </row>
    <row r="16" spans="2:13" ht="22" customHeight="1">
      <c r="B16" s="13" t="s">
        <v>280</v>
      </c>
      <c r="C16" s="13"/>
      <c r="D16" s="13"/>
      <c r="E16" s="13" t="s">
        <v>282</v>
      </c>
      <c r="F16" s="13"/>
      <c r="G16" s="13"/>
      <c r="H16" s="13" t="s">
        <v>284</v>
      </c>
      <c r="I16" s="13"/>
      <c r="J16" s="13"/>
      <c r="K16" s="13" t="s">
        <v>286</v>
      </c>
      <c r="L16" s="13"/>
      <c r="M16" s="13"/>
    </row>
    <row r="17" spans="2:13" ht="8" customHeight="1"/>
    <row r="18" spans="2:13" ht="13" customHeight="1">
      <c r="B18" s="14" t="s">
        <v>287</v>
      </c>
      <c r="C18" s="14"/>
      <c r="D18" s="14"/>
      <c r="E18" s="14"/>
      <c r="F18" s="14"/>
      <c r="G18" s="14"/>
      <c r="H18" s="14" t="s">
        <v>289</v>
      </c>
      <c r="I18" s="14"/>
      <c r="J18" s="14"/>
      <c r="K18" s="14"/>
      <c r="L18" s="14"/>
      <c r="M18" s="14"/>
    </row>
    <row r="19" spans="2:13" ht="22" customHeight="1">
      <c r="B19" s="15" t="s">
        <v>288</v>
      </c>
      <c r="C19" s="15"/>
      <c r="D19" s="15"/>
      <c r="E19" s="15"/>
      <c r="F19" s="15"/>
      <c r="G19" s="15"/>
      <c r="H19" s="15" t="s">
        <v>290</v>
      </c>
      <c r="I19" s="15"/>
      <c r="J19" s="15"/>
      <c r="K19" s="15"/>
      <c r="L19" s="15"/>
      <c r="M19" s="15"/>
    </row>
    <row r="20" spans="2:13" ht="28" customHeight="1">
      <c r="B20" s="19" t="s">
        <v>291</v>
      </c>
      <c r="C20" s="19"/>
      <c r="D20" s="19"/>
      <c r="E20" s="20" t="s">
        <v>292</v>
      </c>
      <c r="F20" s="20" t="s">
        <v>99</v>
      </c>
      <c r="G20" s="20" t="s">
        <v>293</v>
      </c>
    </row>
    <row r="21" spans="2:13" ht="18" customHeight="1">
      <c r="B21" s="21" t="s">
        <v>294</v>
      </c>
      <c r="C21" s="21"/>
      <c r="D21" s="21"/>
      <c r="E21" s="22">
        <v>587</v>
      </c>
      <c r="F21" s="30">
        <v>1</v>
      </c>
      <c r="G21" s="23">
        <v>0.0341</v>
      </c>
    </row>
    <row r="22" spans="2:13" ht="18" customHeight="1">
      <c r="B22" s="21" t="s">
        <v>295</v>
      </c>
      <c r="C22" s="21"/>
      <c r="D22" s="21"/>
      <c r="E22" s="22">
        <v>510</v>
      </c>
      <c r="F22" s="30">
        <v>0.8690000000000001</v>
      </c>
      <c r="G22" s="23">
        <v>0.0157</v>
      </c>
    </row>
    <row r="23" spans="2:13" ht="18" customHeight="1">
      <c r="B23" s="24" t="s">
        <v>296</v>
      </c>
      <c r="C23" s="24"/>
      <c r="D23" s="24"/>
      <c r="E23" s="26">
        <v>490</v>
      </c>
      <c r="F23" s="27">
        <v>0.835</v>
      </c>
      <c r="G23" s="27">
        <v>0</v>
      </c>
    </row>
    <row r="24" spans="2:13" ht="18" customHeight="1">
      <c r="B24" s="21" t="s">
        <v>297</v>
      </c>
      <c r="C24" s="21"/>
      <c r="D24" s="21"/>
      <c r="E24" s="22">
        <v>459</v>
      </c>
      <c r="F24" s="30">
        <v>0.782</v>
      </c>
      <c r="G24" s="30">
        <v>0</v>
      </c>
    </row>
    <row r="25" spans="2:13" ht="18" customHeight="1">
      <c r="B25" s="21" t="s">
        <v>298</v>
      </c>
      <c r="C25" s="21"/>
      <c r="D25" s="21"/>
      <c r="E25" s="22">
        <v>428</v>
      </c>
      <c r="F25" s="30">
        <v>0.7290000000000001</v>
      </c>
      <c r="G25" s="30">
        <v>0</v>
      </c>
    </row>
    <row r="26" spans="2:13" ht="18" customHeight="1">
      <c r="B26" s="17" t="s">
        <v>299</v>
      </c>
      <c r="C26" s="17"/>
      <c r="D26" s="17"/>
      <c r="E26" s="17"/>
      <c r="F26" s="17"/>
      <c r="G26" s="17"/>
    </row>
    <row r="27" spans="2:13" ht="18" customHeight="1">
      <c r="B27" s="17"/>
      <c r="C27" s="17"/>
      <c r="D27" s="17"/>
      <c r="E27" s="17"/>
      <c r="F27" s="17"/>
      <c r="G27" s="17"/>
    </row>
    <row r="28" spans="2:13" ht="18" customHeight="1">
      <c r="B28" s="17"/>
      <c r="C28" s="17"/>
      <c r="D28" s="17"/>
      <c r="E28" s="17"/>
      <c r="F28" s="17"/>
      <c r="G28" s="17"/>
    </row>
    <row r="29" spans="2:13" ht="18" customHeight="1">
      <c r="B29" s="17"/>
      <c r="C29" s="17"/>
      <c r="D29" s="17"/>
      <c r="E29" s="17"/>
      <c r="F29" s="17"/>
      <c r="G29" s="17"/>
    </row>
    <row r="30" spans="2:13" ht="18" customHeight="1">
      <c r="B30" s="17"/>
      <c r="C30" s="17"/>
      <c r="D30" s="17"/>
      <c r="E30" s="17"/>
      <c r="F30" s="17"/>
      <c r="G30" s="17"/>
    </row>
    <row r="31" spans="2:13" ht="8" customHeight="1"/>
    <row r="32" spans="2:13">
      <c r="B32" s="28" t="s">
        <v>301</v>
      </c>
      <c r="C32" s="28"/>
      <c r="D32" s="28"/>
      <c r="E32" s="28"/>
      <c r="F32" s="28"/>
      <c r="G32" s="28"/>
      <c r="H32" s="28"/>
      <c r="I32" s="28"/>
      <c r="J32" s="28"/>
      <c r="K32" s="28"/>
      <c r="L32" s="28"/>
      <c r="M32" s="28"/>
    </row>
    <row r="33" spans="2:13">
      <c r="B33" s="28"/>
      <c r="C33" s="28"/>
      <c r="D33" s="28"/>
      <c r="E33" s="28"/>
      <c r="F33" s="28"/>
      <c r="G33" s="28"/>
      <c r="H33" s="28"/>
      <c r="I33" s="28"/>
      <c r="J33" s="28"/>
      <c r="K33" s="28"/>
      <c r="L33" s="28"/>
      <c r="M33" s="28"/>
    </row>
    <row r="34" spans="2:13" ht="18" customHeight="1">
      <c r="B34" s="18" t="s">
        <v>302</v>
      </c>
      <c r="C34" s="18"/>
      <c r="D34" s="18"/>
      <c r="E34" s="18"/>
      <c r="F34" s="18"/>
      <c r="G34" s="18"/>
      <c r="H34" s="18"/>
      <c r="I34" s="18"/>
      <c r="J34" s="18"/>
      <c r="K34" s="18"/>
      <c r="L34" s="18"/>
      <c r="M34" s="18"/>
    </row>
  </sheetData>
  <mergeCells count="41">
    <mergeCell ref="B2:K2"/>
    <mergeCell ref="B3:K3"/>
    <mergeCell ref="L2:M3"/>
    <mergeCell ref="B4:M4"/>
    <mergeCell ref="B6:M6"/>
    <mergeCell ref="B7:M7"/>
    <mergeCell ref="B9:D9"/>
    <mergeCell ref="B10:D10"/>
    <mergeCell ref="E9:G9"/>
    <mergeCell ref="E10:G10"/>
    <mergeCell ref="H9:J9"/>
    <mergeCell ref="H10:J10"/>
    <mergeCell ref="K9:M9"/>
    <mergeCell ref="K10:M10"/>
    <mergeCell ref="B12:M12"/>
    <mergeCell ref="B13:M13"/>
    <mergeCell ref="B14:D14"/>
    <mergeCell ref="B15:D15"/>
    <mergeCell ref="B16:D16"/>
    <mergeCell ref="E14:G14"/>
    <mergeCell ref="E15:G15"/>
    <mergeCell ref="E16:G16"/>
    <mergeCell ref="H14:J14"/>
    <mergeCell ref="H15:J15"/>
    <mergeCell ref="H16:J16"/>
    <mergeCell ref="K14:M14"/>
    <mergeCell ref="K15:M15"/>
    <mergeCell ref="K16:M16"/>
    <mergeCell ref="B18:G18"/>
    <mergeCell ref="B19:G19"/>
    <mergeCell ref="H18:M18"/>
    <mergeCell ref="H19:M19"/>
    <mergeCell ref="B20:D20"/>
    <mergeCell ref="B21:D21"/>
    <mergeCell ref="B22:D22"/>
    <mergeCell ref="B23:D23"/>
    <mergeCell ref="B24:D24"/>
    <mergeCell ref="B25:D25"/>
    <mergeCell ref="B26:G30"/>
    <mergeCell ref="B32:M33"/>
    <mergeCell ref="B34:M34"/>
  </mergeCells>
  <dataValidations count="4">
    <dataValidation type="list" allowBlank="1" showInputMessage="1" showErrorMessage="1" promptTitle="Flag whitelist" prompt="Pilih kelompok whitelist" sqref="B10:D10">
      <formula1>"Semua,1.Customer has Writeoff,2.Customer has Restru,3.Customer Others"</formula1>
    </dataValidation>
    <dataValidation type="list" allowBlank="1" showInputMessage="1" showErrorMessage="1" promptTitle="Maks. kolektibilitas 12 bulan" prompt="1 = paling ketat" sqref="E10:G10">
      <formula1>"1,2,3,4,5"</formula1>
    </dataValidation>
    <dataValidation type="list" allowBlank="1" showInputMessage="1" showErrorMessage="1" promptTitle="Maks. hari telat 3 bulan" prompt="9999 = tanpa batas" sqref="H10:J10">
      <formula1>"0,10,30,90,9999"</formula1>
    </dataValidation>
    <dataValidation type="list" allowBlank="1" showInputMessage="1" showErrorMessage="1" promptTitle="Segmen perilaku" prompt="Pilih satu segmen atau Semua" sqref="K10:M10">
      <formula1>"Semua,A. Clean &amp; Current,B. Past Due Ringan,C. Restructured,D. NPL / Delinquent,E. Writeoff"</formula1>
    </dataValidation>
  </dataValidations>
  <pageMargins left="0.25" right="0.25" top="0.3" bottom="0.25" header="0.3" footer="0.3"/>
  <pageSetup paperSize="9" orientation="landscape"/>
  <drawing r:id="rId1"/>
</worksheet>
</file>

<file path=xl/worksheets/sheet9.xml><?xml version="1.0" encoding="utf-8"?>
<worksheet xmlns="http://schemas.openxmlformats.org/spreadsheetml/2006/main" xmlns:r="http://schemas.openxmlformats.org/officeDocument/2006/relationships">
  <sheetPr>
    <tabColor rgb="FF111111"/>
    <pageSetUpPr fitToPage="1"/>
  </sheetPr>
  <dimension ref="A1:AO48"/>
  <sheetViews>
    <sheetView showGridLines="0" zoomScale="90" zoomScaleNormal="90" workbookViewId="0">
      <pane ySplit="7" topLeftCell="A8" activePane="bottomLeft" state="frozen"/>
      <selection pane="bottomLeft"/>
    </sheetView>
  </sheetViews>
  <sheetFormatPr defaultRowHeight="15"/>
  <cols>
    <col min="1" max="1" width="2.140625" style="1" customWidth="1"/>
    <col min="2" max="3" width="15.7109375" style="1" customWidth="1"/>
    <col min="4" max="6" width="11.7109375" style="1" customWidth="1"/>
    <col min="7" max="11" width="13.7109375" style="1" customWidth="1"/>
    <col min="12" max="13" width="8.7109375" style="1" customWidth="1"/>
    <col min="14" max="41" width="2.140625" style="1" customWidth="1"/>
  </cols>
  <sheetData>
    <row r="1" spans="2:13" ht="6" customHeight="1"/>
    <row r="2" spans="2:13" s="2" customFormat="1" ht="22" customHeight="1">
      <c r="B2" s="3" t="s">
        <v>303</v>
      </c>
      <c r="C2" s="3"/>
      <c r="D2" s="3"/>
      <c r="E2" s="3"/>
      <c r="F2" s="3"/>
      <c r="G2" s="3"/>
      <c r="H2" s="3"/>
      <c r="I2" s="3"/>
      <c r="J2" s="3"/>
      <c r="K2" s="3"/>
      <c r="L2" s="2"/>
      <c r="M2" s="2"/>
    </row>
    <row r="3" spans="2:13" s="2" customFormat="1" ht="14" customHeight="1">
      <c r="B3" s="4" t="s">
        <v>304</v>
      </c>
      <c r="C3" s="4"/>
      <c r="D3" s="4"/>
      <c r="E3" s="4"/>
      <c r="F3" s="4"/>
      <c r="G3" s="4"/>
      <c r="H3" s="4"/>
      <c r="I3" s="4"/>
      <c r="J3" s="4"/>
      <c r="K3" s="4"/>
      <c r="L3" s="2"/>
      <c r="M3" s="2"/>
    </row>
    <row r="4" spans="2:13" ht="3" customHeight="1">
      <c r="B4" s="5"/>
      <c r="C4" s="5"/>
      <c r="D4" s="5"/>
      <c r="E4" s="5"/>
      <c r="F4" s="5"/>
      <c r="G4" s="5"/>
      <c r="H4" s="5"/>
      <c r="I4" s="5"/>
      <c r="J4" s="5"/>
      <c r="K4" s="5"/>
      <c r="L4" s="5"/>
      <c r="M4" s="5"/>
    </row>
    <row r="5" spans="2:13" ht="12" customHeight="1">
      <c r="B5" s="6" t="s">
        <v>305</v>
      </c>
    </row>
    <row r="6" spans="2:13" ht="6" customHeight="1"/>
    <row r="7" spans="2:13" ht="26" customHeight="1">
      <c r="B7" s="19" t="s">
        <v>306</v>
      </c>
      <c r="C7" s="19"/>
      <c r="D7" s="19" t="s">
        <v>307</v>
      </c>
      <c r="E7" s="19"/>
      <c r="F7" s="19"/>
      <c r="G7" s="19" t="s">
        <v>308</v>
      </c>
      <c r="H7" s="19"/>
      <c r="I7" s="19"/>
      <c r="J7" s="19"/>
      <c r="K7" s="19"/>
      <c r="L7" s="20" t="s">
        <v>309</v>
      </c>
      <c r="M7" s="20"/>
    </row>
    <row r="8" spans="2:13" ht="16" customHeight="1">
      <c r="B8" s="48" t="s">
        <v>310</v>
      </c>
      <c r="C8" s="48"/>
      <c r="D8" s="48"/>
      <c r="E8" s="48"/>
      <c r="F8" s="48"/>
      <c r="G8" s="48"/>
      <c r="H8" s="48"/>
      <c r="I8" s="48"/>
      <c r="J8" s="48"/>
      <c r="K8" s="48"/>
      <c r="L8" s="48"/>
      <c r="M8" s="48"/>
    </row>
    <row r="9" spans="2:13" ht="24" customHeight="1">
      <c r="B9" s="49" t="s">
        <v>311</v>
      </c>
      <c r="C9" s="49"/>
      <c r="D9" s="50" t="s">
        <v>312</v>
      </c>
      <c r="E9" s="50"/>
      <c r="F9" s="50"/>
      <c r="G9" s="17" t="s">
        <v>313</v>
      </c>
      <c r="H9" s="17"/>
      <c r="I9" s="17"/>
      <c r="J9" s="17"/>
      <c r="K9" s="17"/>
      <c r="L9" s="51" t="s">
        <v>276</v>
      </c>
      <c r="M9" s="51"/>
    </row>
    <row r="10" spans="2:13" ht="24" customHeight="1">
      <c r="B10" s="49" t="s">
        <v>314</v>
      </c>
      <c r="C10" s="49"/>
      <c r="D10" s="50" t="s">
        <v>153</v>
      </c>
      <c r="E10" s="50"/>
      <c r="F10" s="50"/>
      <c r="G10" s="17" t="s">
        <v>315</v>
      </c>
      <c r="H10" s="17"/>
      <c r="I10" s="17"/>
      <c r="J10" s="17"/>
      <c r="K10" s="17"/>
      <c r="L10" s="51" t="s">
        <v>316</v>
      </c>
      <c r="M10" s="51"/>
    </row>
    <row r="11" spans="2:13" ht="31.5" customHeight="1">
      <c r="B11" s="49" t="s">
        <v>317</v>
      </c>
      <c r="C11" s="49"/>
      <c r="D11" s="50" t="s">
        <v>318</v>
      </c>
      <c r="E11" s="50"/>
      <c r="F11" s="50"/>
      <c r="G11" s="17" t="s">
        <v>319</v>
      </c>
      <c r="H11" s="17"/>
      <c r="I11" s="17"/>
      <c r="J11" s="17"/>
      <c r="K11" s="17"/>
      <c r="L11" s="51" t="s">
        <v>320</v>
      </c>
      <c r="M11" s="51"/>
    </row>
    <row r="12" spans="2:13" ht="24" customHeight="1">
      <c r="B12" s="49" t="s">
        <v>321</v>
      </c>
      <c r="C12" s="49"/>
      <c r="D12" s="50" t="s">
        <v>322</v>
      </c>
      <c r="E12" s="50"/>
      <c r="F12" s="50"/>
      <c r="G12" s="17" t="s">
        <v>323</v>
      </c>
      <c r="H12" s="17"/>
      <c r="I12" s="17"/>
      <c r="J12" s="17"/>
      <c r="K12" s="17"/>
      <c r="L12" s="51" t="s">
        <v>324</v>
      </c>
      <c r="M12" s="51"/>
    </row>
    <row r="13" spans="2:13" ht="52.5" customHeight="1">
      <c r="B13" s="49" t="s">
        <v>325</v>
      </c>
      <c r="C13" s="49"/>
      <c r="D13" s="50" t="s">
        <v>326</v>
      </c>
      <c r="E13" s="50"/>
      <c r="F13" s="50"/>
      <c r="G13" s="17" t="s">
        <v>327</v>
      </c>
      <c r="H13" s="17"/>
      <c r="I13" s="17"/>
      <c r="J13" s="17"/>
      <c r="K13" s="17"/>
      <c r="L13" s="51" t="s">
        <v>328</v>
      </c>
      <c r="M13" s="51"/>
    </row>
    <row r="14" spans="2:13" ht="24" customHeight="1">
      <c r="B14" s="49" t="s">
        <v>329</v>
      </c>
      <c r="C14" s="49"/>
      <c r="D14" s="50" t="s">
        <v>330</v>
      </c>
      <c r="E14" s="50"/>
      <c r="F14" s="50"/>
      <c r="G14" s="17" t="s">
        <v>331</v>
      </c>
      <c r="H14" s="17"/>
      <c r="I14" s="17"/>
      <c r="J14" s="17"/>
      <c r="K14" s="17"/>
      <c r="L14" s="51" t="s">
        <v>332</v>
      </c>
      <c r="M14" s="51"/>
    </row>
    <row r="15" spans="2:13" ht="24" customHeight="1">
      <c r="B15" s="49" t="s">
        <v>333</v>
      </c>
      <c r="C15" s="49"/>
      <c r="D15" s="50" t="s">
        <v>334</v>
      </c>
      <c r="E15" s="50"/>
      <c r="F15" s="50"/>
      <c r="G15" s="17" t="s">
        <v>335</v>
      </c>
      <c r="H15" s="17"/>
      <c r="I15" s="17"/>
      <c r="J15" s="17"/>
      <c r="K15" s="17"/>
      <c r="L15" s="51" t="s">
        <v>336</v>
      </c>
      <c r="M15" s="51"/>
    </row>
    <row r="16" spans="2:13" ht="24" customHeight="1">
      <c r="B16" s="49" t="s">
        <v>337</v>
      </c>
      <c r="C16" s="49"/>
      <c r="D16" s="50" t="s">
        <v>338</v>
      </c>
      <c r="E16" s="50"/>
      <c r="F16" s="50"/>
      <c r="G16" s="17" t="s">
        <v>339</v>
      </c>
      <c r="H16" s="17"/>
      <c r="I16" s="17"/>
      <c r="J16" s="17"/>
      <c r="K16" s="17"/>
      <c r="L16" s="51" t="s">
        <v>336</v>
      </c>
      <c r="M16" s="51"/>
    </row>
    <row r="17" spans="2:13" ht="24" customHeight="1">
      <c r="B17" s="49" t="s">
        <v>340</v>
      </c>
      <c r="C17" s="49"/>
      <c r="D17" s="50" t="s">
        <v>341</v>
      </c>
      <c r="E17" s="50"/>
      <c r="F17" s="50"/>
      <c r="G17" s="17" t="s">
        <v>342</v>
      </c>
      <c r="H17" s="17"/>
      <c r="I17" s="17"/>
      <c r="J17" s="17"/>
      <c r="K17" s="17"/>
      <c r="L17" s="51" t="s">
        <v>336</v>
      </c>
      <c r="M17" s="51"/>
    </row>
    <row r="18" spans="2:13" ht="24" customHeight="1">
      <c r="B18" s="49" t="s">
        <v>343</v>
      </c>
      <c r="C18" s="49"/>
      <c r="D18" s="50" t="s">
        <v>344</v>
      </c>
      <c r="E18" s="50"/>
      <c r="F18" s="50"/>
      <c r="G18" s="17" t="s">
        <v>345</v>
      </c>
      <c r="H18" s="17"/>
      <c r="I18" s="17"/>
      <c r="J18" s="17"/>
      <c r="K18" s="17"/>
      <c r="L18" s="51" t="s">
        <v>336</v>
      </c>
      <c r="M18" s="51"/>
    </row>
    <row r="19" spans="2:13" ht="24" customHeight="1">
      <c r="B19" s="49" t="s">
        <v>346</v>
      </c>
      <c r="C19" s="49"/>
      <c r="D19" s="50" t="s">
        <v>347</v>
      </c>
      <c r="E19" s="50"/>
      <c r="F19" s="50"/>
      <c r="G19" s="17" t="s">
        <v>348</v>
      </c>
      <c r="H19" s="17"/>
      <c r="I19" s="17"/>
      <c r="J19" s="17"/>
      <c r="K19" s="17"/>
      <c r="L19" s="51" t="s">
        <v>332</v>
      </c>
      <c r="M19" s="51"/>
    </row>
    <row r="20" spans="2:13" ht="31.5" customHeight="1">
      <c r="B20" s="49" t="s">
        <v>349</v>
      </c>
      <c r="C20" s="49"/>
      <c r="D20" s="50" t="s">
        <v>350</v>
      </c>
      <c r="E20" s="50"/>
      <c r="F20" s="50"/>
      <c r="G20" s="17" t="s">
        <v>351</v>
      </c>
      <c r="H20" s="17"/>
      <c r="I20" s="17"/>
      <c r="J20" s="17"/>
      <c r="K20" s="17"/>
      <c r="L20" s="51" t="s">
        <v>332</v>
      </c>
      <c r="M20" s="51"/>
    </row>
    <row r="21" spans="2:13" ht="31.5" customHeight="1">
      <c r="B21" s="49" t="s">
        <v>352</v>
      </c>
      <c r="C21" s="49"/>
      <c r="D21" s="50" t="s">
        <v>353</v>
      </c>
      <c r="E21" s="50"/>
      <c r="F21" s="50"/>
      <c r="G21" s="17" t="s">
        <v>354</v>
      </c>
      <c r="H21" s="17"/>
      <c r="I21" s="17"/>
      <c r="J21" s="17"/>
      <c r="K21" s="17"/>
      <c r="L21" s="51" t="s">
        <v>332</v>
      </c>
      <c r="M21" s="51"/>
    </row>
    <row r="22" spans="2:13" ht="24" customHeight="1">
      <c r="B22" s="49" t="s">
        <v>355</v>
      </c>
      <c r="C22" s="49"/>
      <c r="D22" s="50" t="s">
        <v>356</v>
      </c>
      <c r="E22" s="50"/>
      <c r="F22" s="50"/>
      <c r="G22" s="17" t="s">
        <v>357</v>
      </c>
      <c r="H22" s="17"/>
      <c r="I22" s="17"/>
      <c r="J22" s="17"/>
      <c r="K22" s="17"/>
      <c r="L22" s="51" t="s">
        <v>358</v>
      </c>
      <c r="M22" s="51"/>
    </row>
    <row r="23" spans="2:13" ht="31.5" customHeight="1">
      <c r="B23" s="49" t="s">
        <v>359</v>
      </c>
      <c r="C23" s="49"/>
      <c r="D23" s="50" t="s">
        <v>360</v>
      </c>
      <c r="E23" s="50"/>
      <c r="F23" s="50"/>
      <c r="G23" s="17" t="s">
        <v>361</v>
      </c>
      <c r="H23" s="17"/>
      <c r="I23" s="17"/>
      <c r="J23" s="17"/>
      <c r="K23" s="17"/>
      <c r="L23" s="51" t="s">
        <v>362</v>
      </c>
      <c r="M23" s="51"/>
    </row>
    <row r="24" spans="2:13" ht="31.5" customHeight="1">
      <c r="B24" s="49" t="s">
        <v>363</v>
      </c>
      <c r="C24" s="49"/>
      <c r="D24" s="50" t="s">
        <v>364</v>
      </c>
      <c r="E24" s="50"/>
      <c r="F24" s="50"/>
      <c r="G24" s="17" t="s">
        <v>365</v>
      </c>
      <c r="H24" s="17"/>
      <c r="I24" s="17"/>
      <c r="J24" s="17"/>
      <c r="K24" s="17"/>
      <c r="L24" s="51" t="s">
        <v>366</v>
      </c>
      <c r="M24" s="51"/>
    </row>
    <row r="25" spans="2:13" ht="24" customHeight="1">
      <c r="B25" s="49" t="s">
        <v>367</v>
      </c>
      <c r="C25" s="49"/>
      <c r="D25" s="50" t="s">
        <v>368</v>
      </c>
      <c r="E25" s="50"/>
      <c r="F25" s="50"/>
      <c r="G25" s="17" t="s">
        <v>369</v>
      </c>
      <c r="H25" s="17"/>
      <c r="I25" s="17"/>
      <c r="J25" s="17"/>
      <c r="K25" s="17"/>
      <c r="L25" s="51" t="s">
        <v>336</v>
      </c>
      <c r="M25" s="51"/>
    </row>
    <row r="26" spans="2:13" ht="24" customHeight="1">
      <c r="B26" s="49" t="s">
        <v>370</v>
      </c>
      <c r="C26" s="49"/>
      <c r="D26" s="50" t="s">
        <v>371</v>
      </c>
      <c r="E26" s="50"/>
      <c r="F26" s="50"/>
      <c r="G26" s="17" t="s">
        <v>372</v>
      </c>
      <c r="H26" s="17"/>
      <c r="I26" s="17"/>
      <c r="J26" s="17"/>
      <c r="K26" s="17"/>
      <c r="L26" s="51" t="s">
        <v>332</v>
      </c>
      <c r="M26" s="51"/>
    </row>
    <row r="27" spans="2:13" ht="31.5" customHeight="1">
      <c r="B27" s="49" t="s">
        <v>373</v>
      </c>
      <c r="C27" s="49"/>
      <c r="D27" s="50" t="s">
        <v>157</v>
      </c>
      <c r="E27" s="50"/>
      <c r="F27" s="50"/>
      <c r="G27" s="17" t="s">
        <v>374</v>
      </c>
      <c r="H27" s="17"/>
      <c r="I27" s="17"/>
      <c r="J27" s="17"/>
      <c r="K27" s="17"/>
      <c r="L27" s="51" t="s">
        <v>316</v>
      </c>
      <c r="M27" s="51"/>
    </row>
    <row r="28" spans="2:13" ht="31.5" customHeight="1">
      <c r="B28" s="49" t="s">
        <v>375</v>
      </c>
      <c r="C28" s="49"/>
      <c r="D28" s="50" t="s">
        <v>376</v>
      </c>
      <c r="E28" s="50"/>
      <c r="F28" s="50"/>
      <c r="G28" s="17" t="s">
        <v>377</v>
      </c>
      <c r="H28" s="17"/>
      <c r="I28" s="17"/>
      <c r="J28" s="17"/>
      <c r="K28" s="17"/>
      <c r="L28" s="51" t="s">
        <v>320</v>
      </c>
      <c r="M28" s="51"/>
    </row>
    <row r="29" spans="2:13" ht="42" customHeight="1">
      <c r="B29" s="49" t="s">
        <v>378</v>
      </c>
      <c r="C29" s="49"/>
      <c r="D29" s="50" t="s">
        <v>379</v>
      </c>
      <c r="E29" s="50"/>
      <c r="F29" s="50"/>
      <c r="G29" s="17" t="s">
        <v>380</v>
      </c>
      <c r="H29" s="17"/>
      <c r="I29" s="17"/>
      <c r="J29" s="17"/>
      <c r="K29" s="17"/>
      <c r="L29" s="51" t="s">
        <v>336</v>
      </c>
      <c r="M29" s="51"/>
    </row>
    <row r="30" spans="2:13" ht="31.5" customHeight="1">
      <c r="B30" s="49" t="s">
        <v>381</v>
      </c>
      <c r="C30" s="49"/>
      <c r="D30" s="50" t="s">
        <v>382</v>
      </c>
      <c r="E30" s="50"/>
      <c r="F30" s="50"/>
      <c r="G30" s="17" t="s">
        <v>383</v>
      </c>
      <c r="H30" s="17"/>
      <c r="I30" s="17"/>
      <c r="J30" s="17"/>
      <c r="K30" s="17"/>
      <c r="L30" s="51" t="s">
        <v>336</v>
      </c>
      <c r="M30" s="51"/>
    </row>
    <row r="31" spans="2:13" ht="31.5" customHeight="1">
      <c r="B31" s="49" t="s">
        <v>384</v>
      </c>
      <c r="C31" s="49"/>
      <c r="D31" s="50" t="s">
        <v>385</v>
      </c>
      <c r="E31" s="50"/>
      <c r="F31" s="50"/>
      <c r="G31" s="17" t="s">
        <v>386</v>
      </c>
      <c r="H31" s="17"/>
      <c r="I31" s="17"/>
      <c r="J31" s="17"/>
      <c r="K31" s="17"/>
      <c r="L31" s="51" t="s">
        <v>387</v>
      </c>
      <c r="M31" s="51"/>
    </row>
    <row r="32" spans="2:13" ht="31.5" customHeight="1">
      <c r="B32" s="49" t="s">
        <v>388</v>
      </c>
      <c r="C32" s="49"/>
      <c r="D32" s="50" t="s">
        <v>389</v>
      </c>
      <c r="E32" s="50"/>
      <c r="F32" s="50"/>
      <c r="G32" s="17" t="s">
        <v>390</v>
      </c>
      <c r="H32" s="17"/>
      <c r="I32" s="17"/>
      <c r="J32" s="17"/>
      <c r="K32" s="17"/>
      <c r="L32" s="51" t="s">
        <v>387</v>
      </c>
      <c r="M32" s="51"/>
    </row>
    <row r="33" spans="2:13" ht="31.5" customHeight="1">
      <c r="B33" s="49" t="s">
        <v>391</v>
      </c>
      <c r="C33" s="49"/>
      <c r="D33" s="50" t="s">
        <v>392</v>
      </c>
      <c r="E33" s="50"/>
      <c r="F33" s="50"/>
      <c r="G33" s="17" t="s">
        <v>393</v>
      </c>
      <c r="H33" s="17"/>
      <c r="I33" s="17"/>
      <c r="J33" s="17"/>
      <c r="K33" s="17"/>
      <c r="L33" s="51" t="s">
        <v>394</v>
      </c>
      <c r="M33" s="51"/>
    </row>
    <row r="34" spans="2:13" ht="6" customHeight="1"/>
    <row r="35" spans="2:13" ht="16" customHeight="1">
      <c r="B35" s="48" t="s">
        <v>395</v>
      </c>
      <c r="C35" s="48"/>
      <c r="D35" s="48"/>
      <c r="E35" s="48"/>
      <c r="F35" s="48"/>
      <c r="G35" s="48"/>
      <c r="H35" s="48"/>
      <c r="I35" s="48"/>
      <c r="J35" s="48"/>
      <c r="K35" s="48"/>
      <c r="L35" s="48"/>
      <c r="M35" s="48"/>
    </row>
    <row r="36" spans="2:13" ht="42" customHeight="1">
      <c r="B36" s="49" t="s">
        <v>396</v>
      </c>
      <c r="C36" s="49"/>
      <c r="D36" s="50" t="s">
        <v>397</v>
      </c>
      <c r="E36" s="50"/>
      <c r="F36" s="50"/>
      <c r="G36" s="17" t="s">
        <v>398</v>
      </c>
      <c r="H36" s="17"/>
      <c r="I36" s="17"/>
      <c r="J36" s="17"/>
      <c r="K36" s="17"/>
      <c r="L36" s="51" t="s">
        <v>399</v>
      </c>
      <c r="M36" s="51"/>
    </row>
    <row r="37" spans="2:13" ht="31.5" customHeight="1">
      <c r="B37" s="49" t="s">
        <v>400</v>
      </c>
      <c r="C37" s="49"/>
      <c r="D37" s="50" t="s">
        <v>401</v>
      </c>
      <c r="E37" s="50"/>
      <c r="F37" s="50"/>
      <c r="G37" s="17" t="s">
        <v>402</v>
      </c>
      <c r="H37" s="17"/>
      <c r="I37" s="17"/>
      <c r="J37" s="17"/>
      <c r="K37" s="17"/>
      <c r="L37" s="51" t="s">
        <v>403</v>
      </c>
      <c r="M37" s="51"/>
    </row>
    <row r="38" spans="2:13" ht="24" customHeight="1">
      <c r="B38" s="49" t="s">
        <v>404</v>
      </c>
      <c r="C38" s="49"/>
      <c r="D38" s="50" t="s">
        <v>405</v>
      </c>
      <c r="E38" s="50"/>
      <c r="F38" s="50"/>
      <c r="G38" s="17" t="s">
        <v>406</v>
      </c>
      <c r="H38" s="17"/>
      <c r="I38" s="17"/>
      <c r="J38" s="17"/>
      <c r="K38" s="17"/>
      <c r="L38" s="51" t="s">
        <v>320</v>
      </c>
      <c r="M38" s="51"/>
    </row>
    <row r="39" spans="2:13" ht="42" customHeight="1">
      <c r="B39" s="49" t="s">
        <v>407</v>
      </c>
      <c r="C39" s="49"/>
      <c r="D39" s="50" t="s">
        <v>408</v>
      </c>
      <c r="E39" s="50"/>
      <c r="F39" s="50"/>
      <c r="G39" s="17" t="s">
        <v>409</v>
      </c>
      <c r="H39" s="17"/>
      <c r="I39" s="17"/>
      <c r="J39" s="17"/>
      <c r="K39" s="17"/>
      <c r="L39" s="51" t="s">
        <v>366</v>
      </c>
      <c r="M39" s="51"/>
    </row>
    <row r="40" spans="2:13" ht="31.5" customHeight="1">
      <c r="B40" s="49" t="s">
        <v>410</v>
      </c>
      <c r="C40" s="49"/>
      <c r="D40" s="50" t="s">
        <v>411</v>
      </c>
      <c r="E40" s="50"/>
      <c r="F40" s="50"/>
      <c r="G40" s="17" t="s">
        <v>412</v>
      </c>
      <c r="H40" s="17"/>
      <c r="I40" s="17"/>
      <c r="J40" s="17"/>
      <c r="K40" s="17"/>
      <c r="L40" s="51" t="s">
        <v>362</v>
      </c>
      <c r="M40" s="51"/>
    </row>
    <row r="41" spans="2:13" ht="31.5" customHeight="1">
      <c r="B41" s="49" t="s">
        <v>146</v>
      </c>
      <c r="C41" s="49"/>
      <c r="D41" s="50" t="s">
        <v>413</v>
      </c>
      <c r="E41" s="50"/>
      <c r="F41" s="50"/>
      <c r="G41" s="17" t="s">
        <v>414</v>
      </c>
      <c r="H41" s="17"/>
      <c r="I41" s="17"/>
      <c r="J41" s="17"/>
      <c r="K41" s="17"/>
      <c r="L41" s="51" t="s">
        <v>336</v>
      </c>
      <c r="M41" s="51"/>
    </row>
    <row r="42" spans="2:13" ht="31.5" customHeight="1">
      <c r="B42" s="49" t="s">
        <v>147</v>
      </c>
      <c r="C42" s="49"/>
      <c r="D42" s="50" t="s">
        <v>415</v>
      </c>
      <c r="E42" s="50"/>
      <c r="F42" s="50"/>
      <c r="G42" s="17" t="s">
        <v>416</v>
      </c>
      <c r="H42" s="17"/>
      <c r="I42" s="17"/>
      <c r="J42" s="17"/>
      <c r="K42" s="17"/>
      <c r="L42" s="51" t="s">
        <v>336</v>
      </c>
      <c r="M42" s="51"/>
    </row>
    <row r="43" spans="2:13" ht="24" customHeight="1">
      <c r="B43" s="49" t="s">
        <v>417</v>
      </c>
      <c r="C43" s="49"/>
      <c r="D43" s="50" t="s">
        <v>418</v>
      </c>
      <c r="E43" s="50"/>
      <c r="F43" s="50"/>
      <c r="G43" s="17" t="s">
        <v>419</v>
      </c>
      <c r="H43" s="17"/>
      <c r="I43" s="17"/>
      <c r="J43" s="17"/>
      <c r="K43" s="17"/>
      <c r="L43" s="51" t="s">
        <v>276</v>
      </c>
      <c r="M43" s="51"/>
    </row>
    <row r="44" spans="2:13" ht="24" customHeight="1">
      <c r="B44" s="49" t="s">
        <v>420</v>
      </c>
      <c r="C44" s="49"/>
      <c r="D44" s="50" t="s">
        <v>421</v>
      </c>
      <c r="E44" s="50"/>
      <c r="F44" s="50"/>
      <c r="G44" s="17" t="s">
        <v>422</v>
      </c>
      <c r="H44" s="17"/>
      <c r="I44" s="17"/>
      <c r="J44" s="17"/>
      <c r="K44" s="17"/>
      <c r="L44" s="51" t="s">
        <v>316</v>
      </c>
      <c r="M44" s="51"/>
    </row>
    <row r="45" spans="2:13" ht="31.5" customHeight="1">
      <c r="B45" s="49" t="s">
        <v>423</v>
      </c>
      <c r="C45" s="49"/>
      <c r="D45" s="50" t="s">
        <v>424</v>
      </c>
      <c r="E45" s="50"/>
      <c r="F45" s="50"/>
      <c r="G45" s="17" t="s">
        <v>425</v>
      </c>
      <c r="H45" s="17"/>
      <c r="I45" s="17"/>
      <c r="J45" s="17"/>
      <c r="K45" s="17"/>
      <c r="L45" s="51" t="s">
        <v>336</v>
      </c>
      <c r="M45" s="51"/>
    </row>
    <row r="46" spans="2:13" ht="6" customHeight="1"/>
    <row r="47" spans="2:13">
      <c r="B47" s="18" t="s">
        <v>426</v>
      </c>
      <c r="C47" s="18"/>
      <c r="D47" s="18"/>
      <c r="E47" s="18"/>
      <c r="F47" s="18"/>
      <c r="G47" s="18"/>
      <c r="H47" s="18"/>
      <c r="I47" s="18"/>
      <c r="J47" s="18"/>
      <c r="K47" s="18"/>
      <c r="L47" s="18"/>
      <c r="M47" s="18"/>
    </row>
    <row r="48" spans="2:13">
      <c r="B48" s="18"/>
      <c r="C48" s="18"/>
      <c r="D48" s="18"/>
      <c r="E48" s="18"/>
      <c r="F48" s="18"/>
      <c r="G48" s="18"/>
      <c r="H48" s="18"/>
      <c r="I48" s="18"/>
      <c r="J48" s="18"/>
      <c r="K48" s="18"/>
      <c r="L48" s="18"/>
      <c r="M48" s="18"/>
    </row>
  </sheetData>
  <mergeCells count="151">
    <mergeCell ref="B2:K2"/>
    <mergeCell ref="B3:K3"/>
    <mergeCell ref="L2:M3"/>
    <mergeCell ref="B4:M4"/>
    <mergeCell ref="B7:C7"/>
    <mergeCell ref="D7:F7"/>
    <mergeCell ref="G7:K7"/>
    <mergeCell ref="L7:M7"/>
    <mergeCell ref="B8:M8"/>
    <mergeCell ref="B9:C9"/>
    <mergeCell ref="D9:F9"/>
    <mergeCell ref="G9:K9"/>
    <mergeCell ref="L9:M9"/>
    <mergeCell ref="B10:C10"/>
    <mergeCell ref="D10:F10"/>
    <mergeCell ref="G10:K10"/>
    <mergeCell ref="L10:M10"/>
    <mergeCell ref="B11:C11"/>
    <mergeCell ref="D11:F11"/>
    <mergeCell ref="G11:K11"/>
    <mergeCell ref="L11:M11"/>
    <mergeCell ref="B12:C12"/>
    <mergeCell ref="D12:F12"/>
    <mergeCell ref="G12:K12"/>
    <mergeCell ref="L12:M12"/>
    <mergeCell ref="B13:C13"/>
    <mergeCell ref="D13:F13"/>
    <mergeCell ref="G13:K13"/>
    <mergeCell ref="L13:M13"/>
    <mergeCell ref="B14:C14"/>
    <mergeCell ref="D14:F14"/>
    <mergeCell ref="G14:K14"/>
    <mergeCell ref="L14:M14"/>
    <mergeCell ref="B15:C15"/>
    <mergeCell ref="D15:F15"/>
    <mergeCell ref="G15:K15"/>
    <mergeCell ref="L15:M15"/>
    <mergeCell ref="B16:C16"/>
    <mergeCell ref="D16:F16"/>
    <mergeCell ref="G16:K16"/>
    <mergeCell ref="L16:M16"/>
    <mergeCell ref="B17:C17"/>
    <mergeCell ref="D17:F17"/>
    <mergeCell ref="G17:K17"/>
    <mergeCell ref="L17:M17"/>
    <mergeCell ref="B18:C18"/>
    <mergeCell ref="D18:F18"/>
    <mergeCell ref="G18:K18"/>
    <mergeCell ref="L18:M18"/>
    <mergeCell ref="B19:C19"/>
    <mergeCell ref="D19:F19"/>
    <mergeCell ref="G19:K19"/>
    <mergeCell ref="L19:M19"/>
    <mergeCell ref="B20:C20"/>
    <mergeCell ref="D20:F20"/>
    <mergeCell ref="G20:K20"/>
    <mergeCell ref="L20:M20"/>
    <mergeCell ref="B21:C21"/>
    <mergeCell ref="D21:F21"/>
    <mergeCell ref="G21:K21"/>
    <mergeCell ref="L21:M21"/>
    <mergeCell ref="B22:C22"/>
    <mergeCell ref="D22:F22"/>
    <mergeCell ref="G22:K22"/>
    <mergeCell ref="L22:M22"/>
    <mergeCell ref="B23:C23"/>
    <mergeCell ref="D23:F23"/>
    <mergeCell ref="G23:K23"/>
    <mergeCell ref="L23:M23"/>
    <mergeCell ref="B24:C24"/>
    <mergeCell ref="D24:F24"/>
    <mergeCell ref="G24:K24"/>
    <mergeCell ref="L24:M24"/>
    <mergeCell ref="B25:C25"/>
    <mergeCell ref="D25:F25"/>
    <mergeCell ref="G25:K25"/>
    <mergeCell ref="L25:M25"/>
    <mergeCell ref="B26:C26"/>
    <mergeCell ref="D26:F26"/>
    <mergeCell ref="G26:K26"/>
    <mergeCell ref="L26:M26"/>
    <mergeCell ref="B27:C27"/>
    <mergeCell ref="D27:F27"/>
    <mergeCell ref="G27:K27"/>
    <mergeCell ref="L27:M27"/>
    <mergeCell ref="B28:C28"/>
    <mergeCell ref="D28:F28"/>
    <mergeCell ref="G28:K28"/>
    <mergeCell ref="L28:M28"/>
    <mergeCell ref="B29:C29"/>
    <mergeCell ref="D29:F29"/>
    <mergeCell ref="G29:K29"/>
    <mergeCell ref="L29:M29"/>
    <mergeCell ref="B30:C30"/>
    <mergeCell ref="D30:F30"/>
    <mergeCell ref="G30:K30"/>
    <mergeCell ref="L30:M30"/>
    <mergeCell ref="B31:C31"/>
    <mergeCell ref="D31:F31"/>
    <mergeCell ref="G31:K31"/>
    <mergeCell ref="L31:M31"/>
    <mergeCell ref="B32:C32"/>
    <mergeCell ref="D32:F32"/>
    <mergeCell ref="G32:K32"/>
    <mergeCell ref="L32:M32"/>
    <mergeCell ref="B33:C33"/>
    <mergeCell ref="D33:F33"/>
    <mergeCell ref="G33:K33"/>
    <mergeCell ref="L33:M33"/>
    <mergeCell ref="B35:M35"/>
    <mergeCell ref="B36:C36"/>
    <mergeCell ref="D36:F36"/>
    <mergeCell ref="G36:K36"/>
    <mergeCell ref="L36:M36"/>
    <mergeCell ref="B37:C37"/>
    <mergeCell ref="D37:F37"/>
    <mergeCell ref="G37:K37"/>
    <mergeCell ref="L37:M37"/>
    <mergeCell ref="B38:C38"/>
    <mergeCell ref="D38:F38"/>
    <mergeCell ref="G38:K38"/>
    <mergeCell ref="L38:M38"/>
    <mergeCell ref="B39:C39"/>
    <mergeCell ref="D39:F39"/>
    <mergeCell ref="G39:K39"/>
    <mergeCell ref="L39:M39"/>
    <mergeCell ref="B40:C40"/>
    <mergeCell ref="D40:F40"/>
    <mergeCell ref="G40:K40"/>
    <mergeCell ref="L40:M40"/>
    <mergeCell ref="B41:C41"/>
    <mergeCell ref="D41:F41"/>
    <mergeCell ref="G41:K41"/>
    <mergeCell ref="L41:M41"/>
    <mergeCell ref="B42:C42"/>
    <mergeCell ref="D42:F42"/>
    <mergeCell ref="G42:K42"/>
    <mergeCell ref="L42:M42"/>
    <mergeCell ref="B43:C43"/>
    <mergeCell ref="D43:F43"/>
    <mergeCell ref="G43:K43"/>
    <mergeCell ref="L43:M43"/>
    <mergeCell ref="B44:C44"/>
    <mergeCell ref="D44:F44"/>
    <mergeCell ref="G44:K44"/>
    <mergeCell ref="L44:M44"/>
    <mergeCell ref="B45:C45"/>
    <mergeCell ref="D45:F45"/>
    <mergeCell ref="G45:K45"/>
    <mergeCell ref="L45:M45"/>
    <mergeCell ref="B47:M48"/>
  </mergeCells>
  <pageMargins left="0.25" right="0.25" top="0.3" bottom="0.25" header="0.3" footer="0.3"/>
  <pageSetup paperSize="9" fitToHeight="2" orientation="landscape"/>
  <drawing r:id="rId1"/>
</worksheet>
</file>

<file path=xl/worksheets/sheet10.xml><?xml version="1.0" encoding="utf-8"?>
<worksheet xmlns="http://schemas.openxmlformats.org/spreadsheetml/2006/main" xmlns:r="http://schemas.openxmlformats.org/officeDocument/2006/relationships">
  <sheetPr>
    <tabColor rgb="FF111111"/>
    <pageSetUpPr fitToPage="1"/>
  </sheetPr>
  <dimension ref="A1:AO43"/>
  <sheetViews>
    <sheetView showGridLines="0" zoomScale="90" zoomScaleNormal="90" workbookViewId="0">
      <pane ySplit="7" topLeftCell="A8" activePane="bottomLeft" state="frozen"/>
      <selection pane="bottomLeft"/>
    </sheetView>
  </sheetViews>
  <sheetFormatPr defaultRowHeight="15"/>
  <cols>
    <col min="1" max="1" width="2.140625" style="1" customWidth="1"/>
    <col min="2" max="3" width="13.7109375" style="1" customWidth="1"/>
    <col min="4" max="13" width="11.7109375" style="1" customWidth="1"/>
    <col min="14" max="41" width="2.140625" style="1" customWidth="1"/>
  </cols>
  <sheetData>
    <row r="1" spans="2:13" ht="6" customHeight="1"/>
    <row r="2" spans="2:13" s="2" customFormat="1" ht="22" customHeight="1">
      <c r="B2" s="3" t="s">
        <v>427</v>
      </c>
      <c r="C2" s="3"/>
      <c r="D2" s="3"/>
      <c r="E2" s="3"/>
      <c r="F2" s="3"/>
      <c r="G2" s="3"/>
      <c r="H2" s="3"/>
      <c r="I2" s="3"/>
      <c r="J2" s="3"/>
      <c r="K2" s="3"/>
      <c r="L2" s="2"/>
      <c r="M2" s="2"/>
    </row>
    <row r="3" spans="2:13" s="2" customFormat="1" ht="14" customHeight="1">
      <c r="B3" s="4" t="s">
        <v>428</v>
      </c>
      <c r="C3" s="4"/>
      <c r="D3" s="4"/>
      <c r="E3" s="4"/>
      <c r="F3" s="4"/>
      <c r="G3" s="4"/>
      <c r="H3" s="4"/>
      <c r="I3" s="4"/>
      <c r="J3" s="4"/>
      <c r="K3" s="4"/>
      <c r="L3" s="2"/>
      <c r="M3" s="2"/>
    </row>
    <row r="4" spans="2:13" ht="3" customHeight="1">
      <c r="B4" s="5"/>
      <c r="C4" s="5"/>
      <c r="D4" s="5"/>
      <c r="E4" s="5"/>
      <c r="F4" s="5"/>
      <c r="G4" s="5"/>
      <c r="H4" s="5"/>
      <c r="I4" s="5"/>
      <c r="J4" s="5"/>
      <c r="K4" s="5"/>
      <c r="L4" s="5"/>
      <c r="M4" s="5"/>
    </row>
    <row r="5" spans="2:13" ht="12" customHeight="1">
      <c r="B5" s="6" t="s">
        <v>305</v>
      </c>
    </row>
    <row r="7" spans="2:13" ht="16" customHeight="1">
      <c r="B7" s="48" t="s">
        <v>429</v>
      </c>
      <c r="C7" s="48"/>
      <c r="D7" s="48"/>
      <c r="E7" s="48"/>
      <c r="F7" s="48"/>
      <c r="G7" s="48"/>
      <c r="H7" s="48"/>
      <c r="I7" s="48"/>
      <c r="J7" s="48"/>
      <c r="K7" s="48"/>
      <c r="L7" s="48"/>
      <c r="M7" s="48"/>
    </row>
    <row r="8" spans="2:13" ht="24" customHeight="1">
      <c r="B8" s="52" t="s">
        <v>430</v>
      </c>
      <c r="C8" s="52"/>
      <c r="D8" s="52" t="s">
        <v>431</v>
      </c>
      <c r="E8" s="52"/>
      <c r="F8" s="52"/>
      <c r="G8" s="52"/>
      <c r="H8" s="52" t="s">
        <v>432</v>
      </c>
      <c r="I8" s="52"/>
      <c r="J8" s="52"/>
      <c r="K8" s="52"/>
      <c r="L8" s="52"/>
      <c r="M8" s="52"/>
    </row>
    <row r="9" spans="2:13" ht="42" customHeight="1">
      <c r="B9" s="53" t="s">
        <v>433</v>
      </c>
      <c r="C9" s="53"/>
      <c r="D9" s="17" t="s">
        <v>434</v>
      </c>
      <c r="E9" s="17"/>
      <c r="F9" s="17"/>
      <c r="G9" s="17"/>
      <c r="H9" s="17" t="s">
        <v>435</v>
      </c>
      <c r="I9" s="17"/>
      <c r="J9" s="17"/>
      <c r="K9" s="17"/>
      <c r="L9" s="17"/>
      <c r="M9" s="17"/>
    </row>
    <row r="10" spans="2:13" ht="42" customHeight="1">
      <c r="B10" s="53" t="s">
        <v>436</v>
      </c>
      <c r="C10" s="53"/>
      <c r="D10" s="54" t="s">
        <v>437</v>
      </c>
      <c r="E10" s="54"/>
      <c r="F10" s="54"/>
      <c r="G10" s="54"/>
      <c r="H10" s="54" t="s">
        <v>438</v>
      </c>
      <c r="I10" s="54"/>
      <c r="J10" s="54"/>
      <c r="K10" s="54"/>
      <c r="L10" s="54"/>
      <c r="M10" s="54"/>
    </row>
    <row r="11" spans="2:13" ht="52.5" customHeight="1">
      <c r="B11" s="53" t="s">
        <v>439</v>
      </c>
      <c r="C11" s="53"/>
      <c r="D11" s="54" t="s">
        <v>440</v>
      </c>
      <c r="E11" s="54"/>
      <c r="F11" s="54"/>
      <c r="G11" s="54"/>
      <c r="H11" s="54" t="s">
        <v>441</v>
      </c>
      <c r="I11" s="54"/>
      <c r="J11" s="54"/>
      <c r="K11" s="54"/>
      <c r="L11" s="54"/>
      <c r="M11" s="54"/>
    </row>
    <row r="12" spans="2:13" ht="42" customHeight="1">
      <c r="B12" s="53" t="s">
        <v>442</v>
      </c>
      <c r="C12" s="53"/>
      <c r="D12" s="17" t="s">
        <v>443</v>
      </c>
      <c r="E12" s="17"/>
      <c r="F12" s="17"/>
      <c r="G12" s="17"/>
      <c r="H12" s="17" t="s">
        <v>444</v>
      </c>
      <c r="I12" s="17"/>
      <c r="J12" s="17"/>
      <c r="K12" s="17"/>
      <c r="L12" s="17"/>
      <c r="M12" s="17"/>
    </row>
    <row r="13" spans="2:13" ht="31.5" customHeight="1">
      <c r="B13" s="53" t="s">
        <v>445</v>
      </c>
      <c r="C13" s="53"/>
      <c r="D13" s="17" t="s">
        <v>446</v>
      </c>
      <c r="E13" s="17"/>
      <c r="F13" s="17"/>
      <c r="G13" s="17"/>
      <c r="H13" s="17" t="s">
        <v>447</v>
      </c>
      <c r="I13" s="17"/>
      <c r="J13" s="17"/>
      <c r="K13" s="17"/>
      <c r="L13" s="17"/>
      <c r="M13" s="17"/>
    </row>
    <row r="14" spans="2:13" ht="31.5" customHeight="1">
      <c r="B14" s="53" t="s">
        <v>448</v>
      </c>
      <c r="C14" s="53"/>
      <c r="D14" s="17" t="s">
        <v>449</v>
      </c>
      <c r="E14" s="17"/>
      <c r="F14" s="17"/>
      <c r="G14" s="17"/>
      <c r="H14" s="17" t="s">
        <v>450</v>
      </c>
      <c r="I14" s="17"/>
      <c r="J14" s="17"/>
      <c r="K14" s="17"/>
      <c r="L14" s="17"/>
      <c r="M14" s="17"/>
    </row>
    <row r="15" spans="2:13" ht="31.5" customHeight="1">
      <c r="B15" s="53" t="s">
        <v>451</v>
      </c>
      <c r="C15" s="53"/>
      <c r="D15" s="17" t="s">
        <v>452</v>
      </c>
      <c r="E15" s="17"/>
      <c r="F15" s="17"/>
      <c r="G15" s="17"/>
      <c r="H15" s="17" t="s">
        <v>453</v>
      </c>
      <c r="I15" s="17"/>
      <c r="J15" s="17"/>
      <c r="K15" s="17"/>
      <c r="L15" s="17"/>
      <c r="M15" s="17"/>
    </row>
    <row r="16" spans="2:13" ht="6" customHeight="1"/>
    <row r="17" spans="2:13" ht="16" customHeight="1">
      <c r="B17" s="48" t="s">
        <v>454</v>
      </c>
      <c r="C17" s="48"/>
      <c r="D17" s="48"/>
      <c r="E17" s="48"/>
      <c r="F17" s="48"/>
      <c r="G17" s="48"/>
      <c r="H17" s="48"/>
      <c r="I17" s="48"/>
      <c r="J17" s="48"/>
      <c r="K17" s="48"/>
      <c r="L17" s="48"/>
      <c r="M17" s="48"/>
    </row>
    <row r="18" spans="2:13" ht="24" customHeight="1">
      <c r="B18" s="52" t="s">
        <v>455</v>
      </c>
      <c r="C18" s="52"/>
      <c r="D18" s="52" t="s">
        <v>456</v>
      </c>
      <c r="E18" s="52"/>
      <c r="F18" s="52"/>
      <c r="G18" s="52"/>
      <c r="H18" s="52" t="s">
        <v>457</v>
      </c>
      <c r="I18" s="52"/>
      <c r="J18" s="52"/>
      <c r="K18" s="52"/>
      <c r="L18" s="52"/>
      <c r="M18" s="52"/>
    </row>
    <row r="19" spans="2:13" ht="24" customHeight="1">
      <c r="B19" s="53" t="s">
        <v>458</v>
      </c>
      <c r="C19" s="53"/>
      <c r="D19" s="17" t="s">
        <v>459</v>
      </c>
      <c r="E19" s="17"/>
      <c r="F19" s="17"/>
      <c r="G19" s="17"/>
      <c r="H19" s="17" t="s">
        <v>460</v>
      </c>
      <c r="I19" s="17"/>
      <c r="J19" s="17"/>
      <c r="K19" s="17"/>
      <c r="L19" s="17"/>
      <c r="M19" s="17"/>
    </row>
    <row r="20" spans="2:13" ht="24" customHeight="1">
      <c r="B20" s="53" t="s">
        <v>461</v>
      </c>
      <c r="C20" s="53"/>
      <c r="D20" s="17" t="s">
        <v>462</v>
      </c>
      <c r="E20" s="17"/>
      <c r="F20" s="17"/>
      <c r="G20" s="17"/>
      <c r="H20" s="17" t="s">
        <v>463</v>
      </c>
      <c r="I20" s="17"/>
      <c r="J20" s="17"/>
      <c r="K20" s="17"/>
      <c r="L20" s="17"/>
      <c r="M20" s="17"/>
    </row>
    <row r="21" spans="2:13" ht="24" customHeight="1">
      <c r="B21" s="53" t="s">
        <v>464</v>
      </c>
      <c r="C21" s="53"/>
      <c r="D21" s="17" t="s">
        <v>465</v>
      </c>
      <c r="E21" s="17"/>
      <c r="F21" s="17"/>
      <c r="G21" s="17"/>
      <c r="H21" s="17" t="s">
        <v>466</v>
      </c>
      <c r="I21" s="17"/>
      <c r="J21" s="17"/>
      <c r="K21" s="17"/>
      <c r="L21" s="17"/>
      <c r="M21" s="17"/>
    </row>
    <row r="22" spans="2:13" ht="24" customHeight="1">
      <c r="B22" s="53" t="s">
        <v>467</v>
      </c>
      <c r="C22" s="53"/>
      <c r="D22" s="17" t="s">
        <v>468</v>
      </c>
      <c r="E22" s="17"/>
      <c r="F22" s="17"/>
      <c r="G22" s="17"/>
      <c r="H22" s="17" t="s">
        <v>469</v>
      </c>
      <c r="I22" s="17"/>
      <c r="J22" s="17"/>
      <c r="K22" s="17"/>
      <c r="L22" s="17"/>
      <c r="M22" s="17"/>
    </row>
    <row r="23" spans="2:13" ht="31.5" customHeight="1">
      <c r="B23" s="53" t="s">
        <v>470</v>
      </c>
      <c r="C23" s="53"/>
      <c r="D23" s="17" t="s">
        <v>471</v>
      </c>
      <c r="E23" s="17"/>
      <c r="F23" s="17"/>
      <c r="G23" s="17"/>
      <c r="H23" s="17" t="s">
        <v>472</v>
      </c>
      <c r="I23" s="17"/>
      <c r="J23" s="17"/>
      <c r="K23" s="17"/>
      <c r="L23" s="17"/>
      <c r="M23" s="17"/>
    </row>
    <row r="24" spans="2:13" ht="52.5" customHeight="1">
      <c r="B24" s="53" t="s">
        <v>473</v>
      </c>
      <c r="C24" s="53"/>
      <c r="D24" s="17" t="s">
        <v>474</v>
      </c>
      <c r="E24" s="17"/>
      <c r="F24" s="17"/>
      <c r="G24" s="17"/>
      <c r="H24" s="17" t="s">
        <v>475</v>
      </c>
      <c r="I24" s="17"/>
      <c r="J24" s="17"/>
      <c r="K24" s="17"/>
      <c r="L24" s="17"/>
      <c r="M24" s="17"/>
    </row>
    <row r="25" spans="2:13" ht="24" customHeight="1">
      <c r="B25" s="53" t="s">
        <v>476</v>
      </c>
      <c r="C25" s="53"/>
      <c r="D25" s="17" t="s">
        <v>477</v>
      </c>
      <c r="E25" s="17"/>
      <c r="F25" s="17"/>
      <c r="G25" s="17"/>
      <c r="H25" s="17" t="s">
        <v>478</v>
      </c>
      <c r="I25" s="17"/>
      <c r="J25" s="17"/>
      <c r="K25" s="17"/>
      <c r="L25" s="17"/>
      <c r="M25" s="17"/>
    </row>
    <row r="26" spans="2:13" ht="24" customHeight="1">
      <c r="B26" s="53" t="s">
        <v>479</v>
      </c>
      <c r="C26" s="53"/>
      <c r="D26" s="17" t="s">
        <v>480</v>
      </c>
      <c r="E26" s="17"/>
      <c r="F26" s="17"/>
      <c r="G26" s="17"/>
      <c r="H26" s="17" t="s">
        <v>481</v>
      </c>
      <c r="I26" s="17"/>
      <c r="J26" s="17"/>
      <c r="K26" s="17"/>
      <c r="L26" s="17"/>
      <c r="M26" s="17"/>
    </row>
    <row r="27" spans="2:13" ht="42" customHeight="1">
      <c r="B27" s="53" t="s">
        <v>482</v>
      </c>
      <c r="C27" s="53"/>
      <c r="D27" s="17" t="s">
        <v>483</v>
      </c>
      <c r="E27" s="17"/>
      <c r="F27" s="17"/>
      <c r="G27" s="17"/>
      <c r="H27" s="17" t="s">
        <v>484</v>
      </c>
      <c r="I27" s="17"/>
      <c r="J27" s="17"/>
      <c r="K27" s="17"/>
      <c r="L27" s="17"/>
      <c r="M27" s="17"/>
    </row>
    <row r="28" spans="2:13" ht="42" customHeight="1">
      <c r="B28" s="53" t="s">
        <v>485</v>
      </c>
      <c r="C28" s="53"/>
      <c r="D28" s="17" t="s">
        <v>486</v>
      </c>
      <c r="E28" s="17"/>
      <c r="F28" s="17"/>
      <c r="G28" s="17"/>
      <c r="H28" s="17" t="s">
        <v>487</v>
      </c>
      <c r="I28" s="17"/>
      <c r="J28" s="17"/>
      <c r="K28" s="17"/>
      <c r="L28" s="17"/>
      <c r="M28" s="17"/>
    </row>
    <row r="29" spans="2:13" ht="31.5" customHeight="1">
      <c r="B29" s="53" t="s">
        <v>488</v>
      </c>
      <c r="C29" s="53"/>
      <c r="D29" s="17" t="s">
        <v>489</v>
      </c>
      <c r="E29" s="17"/>
      <c r="F29" s="17"/>
      <c r="G29" s="17"/>
      <c r="H29" s="17" t="s">
        <v>490</v>
      </c>
      <c r="I29" s="17"/>
      <c r="J29" s="17"/>
      <c r="K29" s="17"/>
      <c r="L29" s="17"/>
      <c r="M29" s="17"/>
    </row>
    <row r="30" spans="2:13" ht="24" customHeight="1">
      <c r="B30" s="53" t="s">
        <v>491</v>
      </c>
      <c r="C30" s="53"/>
      <c r="D30" s="17" t="s">
        <v>492</v>
      </c>
      <c r="E30" s="17"/>
      <c r="F30" s="17"/>
      <c r="G30" s="17"/>
      <c r="H30" s="17" t="s">
        <v>493</v>
      </c>
      <c r="I30" s="17"/>
      <c r="J30" s="17"/>
      <c r="K30" s="17"/>
      <c r="L30" s="17"/>
      <c r="M30" s="17"/>
    </row>
    <row r="31" spans="2:13" ht="6" customHeight="1"/>
    <row r="32" spans="2:13" ht="16" customHeight="1">
      <c r="B32" s="48" t="s">
        <v>494</v>
      </c>
      <c r="C32" s="48"/>
      <c r="D32" s="48"/>
      <c r="E32" s="48"/>
      <c r="F32" s="48"/>
      <c r="G32" s="48"/>
      <c r="H32" s="48"/>
      <c r="I32" s="48"/>
      <c r="J32" s="48"/>
      <c r="K32" s="48"/>
      <c r="L32" s="48"/>
      <c r="M32" s="48"/>
    </row>
    <row r="33" spans="2:13" ht="24" customHeight="1">
      <c r="B33" s="52" t="s">
        <v>430</v>
      </c>
      <c r="C33" s="52"/>
      <c r="D33" s="52" t="s">
        <v>495</v>
      </c>
      <c r="E33" s="52"/>
      <c r="F33" s="52"/>
      <c r="G33" s="52"/>
      <c r="H33" s="52" t="s">
        <v>496</v>
      </c>
      <c r="I33" s="52"/>
      <c r="J33" s="52"/>
      <c r="K33" s="52"/>
      <c r="L33" s="52"/>
      <c r="M33" s="52"/>
    </row>
    <row r="34" spans="2:13" ht="42" customHeight="1">
      <c r="B34" s="53" t="s">
        <v>497</v>
      </c>
      <c r="C34" s="53"/>
      <c r="D34" s="17" t="s">
        <v>498</v>
      </c>
      <c r="E34" s="17"/>
      <c r="F34" s="17"/>
      <c r="G34" s="17"/>
      <c r="H34" s="17" t="s">
        <v>499</v>
      </c>
      <c r="I34" s="17"/>
      <c r="J34" s="17"/>
      <c r="K34" s="17"/>
      <c r="L34" s="17"/>
      <c r="M34" s="17"/>
    </row>
    <row r="35" spans="2:13" ht="52.5" customHeight="1">
      <c r="B35" s="53" t="s">
        <v>500</v>
      </c>
      <c r="C35" s="53"/>
      <c r="D35" s="54" t="s">
        <v>501</v>
      </c>
      <c r="E35" s="54"/>
      <c r="F35" s="54"/>
      <c r="G35" s="54"/>
      <c r="H35" s="54" t="s">
        <v>502</v>
      </c>
      <c r="I35" s="54"/>
      <c r="J35" s="54"/>
      <c r="K35" s="54"/>
      <c r="L35" s="54"/>
      <c r="M35" s="54"/>
    </row>
    <row r="36" spans="2:13" ht="42" customHeight="1">
      <c r="B36" s="53" t="s">
        <v>503</v>
      </c>
      <c r="C36" s="53"/>
      <c r="D36" s="17" t="s">
        <v>504</v>
      </c>
      <c r="E36" s="17"/>
      <c r="F36" s="17"/>
      <c r="G36" s="17"/>
      <c r="H36" s="17" t="s">
        <v>505</v>
      </c>
      <c r="I36" s="17"/>
      <c r="J36" s="17"/>
      <c r="K36" s="17"/>
      <c r="L36" s="17"/>
      <c r="M36" s="17"/>
    </row>
    <row r="37" spans="2:13" ht="52.5" customHeight="1">
      <c r="B37" s="53" t="s">
        <v>506</v>
      </c>
      <c r="C37" s="53"/>
      <c r="D37" s="17" t="s">
        <v>507</v>
      </c>
      <c r="E37" s="17"/>
      <c r="F37" s="17"/>
      <c r="G37" s="17"/>
      <c r="H37" s="17" t="s">
        <v>508</v>
      </c>
      <c r="I37" s="17"/>
      <c r="J37" s="17"/>
      <c r="K37" s="17"/>
      <c r="L37" s="17"/>
      <c r="M37" s="17"/>
    </row>
    <row r="38" spans="2:13" ht="42" customHeight="1">
      <c r="B38" s="53" t="s">
        <v>509</v>
      </c>
      <c r="C38" s="53"/>
      <c r="D38" s="54" t="s">
        <v>510</v>
      </c>
      <c r="E38" s="54"/>
      <c r="F38" s="54"/>
      <c r="G38" s="54"/>
      <c r="H38" s="54" t="s">
        <v>511</v>
      </c>
      <c r="I38" s="54"/>
      <c r="J38" s="54"/>
      <c r="K38" s="54"/>
      <c r="L38" s="54"/>
      <c r="M38" s="54"/>
    </row>
    <row r="39" spans="2:13" ht="31.5" customHeight="1">
      <c r="B39" s="53" t="s">
        <v>512</v>
      </c>
      <c r="C39" s="53"/>
      <c r="D39" s="17" t="s">
        <v>513</v>
      </c>
      <c r="E39" s="17"/>
      <c r="F39" s="17"/>
      <c r="G39" s="17"/>
      <c r="H39" s="17" t="s">
        <v>514</v>
      </c>
      <c r="I39" s="17"/>
      <c r="J39" s="17"/>
      <c r="K39" s="17"/>
      <c r="L39" s="17"/>
      <c r="M39" s="17"/>
    </row>
    <row r="40" spans="2:13" ht="31.5" customHeight="1">
      <c r="B40" s="53" t="s">
        <v>515</v>
      </c>
      <c r="C40" s="53"/>
      <c r="D40" s="17" t="s">
        <v>516</v>
      </c>
      <c r="E40" s="17"/>
      <c r="F40" s="17"/>
      <c r="G40" s="17"/>
      <c r="H40" s="17" t="s">
        <v>517</v>
      </c>
      <c r="I40" s="17"/>
      <c r="J40" s="17"/>
      <c r="K40" s="17"/>
      <c r="L40" s="17"/>
      <c r="M40" s="17"/>
    </row>
    <row r="41" spans="2:13" ht="6" customHeight="1"/>
    <row r="42" spans="2:13">
      <c r="B42" s="18" t="s">
        <v>518</v>
      </c>
      <c r="C42" s="18"/>
      <c r="D42" s="18"/>
      <c r="E42" s="18"/>
      <c r="F42" s="18"/>
      <c r="G42" s="18"/>
      <c r="H42" s="18"/>
      <c r="I42" s="18"/>
      <c r="J42" s="18"/>
      <c r="K42" s="18"/>
      <c r="L42" s="18"/>
      <c r="M42" s="18"/>
    </row>
    <row r="43" spans="2:13">
      <c r="B43" s="18"/>
      <c r="C43" s="18"/>
      <c r="D43" s="18"/>
      <c r="E43" s="18"/>
      <c r="F43" s="18"/>
      <c r="G43" s="18"/>
      <c r="H43" s="18"/>
      <c r="I43" s="18"/>
      <c r="J43" s="18"/>
      <c r="K43" s="18"/>
      <c r="L43" s="18"/>
      <c r="M43" s="18"/>
    </row>
  </sheetData>
  <mergeCells count="95">
    <mergeCell ref="B2:K2"/>
    <mergeCell ref="B3:K3"/>
    <mergeCell ref="L2:M3"/>
    <mergeCell ref="B4:M4"/>
    <mergeCell ref="B7:M7"/>
    <mergeCell ref="B8:C8"/>
    <mergeCell ref="D8:G8"/>
    <mergeCell ref="H8:M8"/>
    <mergeCell ref="B9:C9"/>
    <mergeCell ref="D9:G9"/>
    <mergeCell ref="H9:M9"/>
    <mergeCell ref="B10:C10"/>
    <mergeCell ref="D10:G10"/>
    <mergeCell ref="H10:M10"/>
    <mergeCell ref="B11:C11"/>
    <mergeCell ref="D11:G11"/>
    <mergeCell ref="H11:M11"/>
    <mergeCell ref="B12:C12"/>
    <mergeCell ref="D12:G12"/>
    <mergeCell ref="H12:M12"/>
    <mergeCell ref="B13:C13"/>
    <mergeCell ref="D13:G13"/>
    <mergeCell ref="H13:M13"/>
    <mergeCell ref="B14:C14"/>
    <mergeCell ref="D14:G14"/>
    <mergeCell ref="H14:M14"/>
    <mergeCell ref="B15:C15"/>
    <mergeCell ref="D15:G15"/>
    <mergeCell ref="H15:M15"/>
    <mergeCell ref="B17:M17"/>
    <mergeCell ref="B18:C18"/>
    <mergeCell ref="D18:G18"/>
    <mergeCell ref="H18:M18"/>
    <mergeCell ref="B19:C19"/>
    <mergeCell ref="D19:G19"/>
    <mergeCell ref="H19:M19"/>
    <mergeCell ref="B20:C20"/>
    <mergeCell ref="D20:G20"/>
    <mergeCell ref="H20:M20"/>
    <mergeCell ref="B21:C21"/>
    <mergeCell ref="D21:G21"/>
    <mergeCell ref="H21:M21"/>
    <mergeCell ref="B22:C22"/>
    <mergeCell ref="D22:G22"/>
    <mergeCell ref="H22:M22"/>
    <mergeCell ref="B23:C23"/>
    <mergeCell ref="D23:G23"/>
    <mergeCell ref="H23:M23"/>
    <mergeCell ref="B24:C24"/>
    <mergeCell ref="D24:G24"/>
    <mergeCell ref="H24:M24"/>
    <mergeCell ref="B25:C25"/>
    <mergeCell ref="D25:G25"/>
    <mergeCell ref="H25:M25"/>
    <mergeCell ref="B26:C26"/>
    <mergeCell ref="D26:G26"/>
    <mergeCell ref="H26:M26"/>
    <mergeCell ref="B27:C27"/>
    <mergeCell ref="D27:G27"/>
    <mergeCell ref="H27:M27"/>
    <mergeCell ref="B28:C28"/>
    <mergeCell ref="D28:G28"/>
    <mergeCell ref="H28:M28"/>
    <mergeCell ref="B29:C29"/>
    <mergeCell ref="D29:G29"/>
    <mergeCell ref="H29:M29"/>
    <mergeCell ref="B30:C30"/>
    <mergeCell ref="D30:G30"/>
    <mergeCell ref="H30:M30"/>
    <mergeCell ref="B32:M32"/>
    <mergeCell ref="B33:C33"/>
    <mergeCell ref="D33:G33"/>
    <mergeCell ref="H33:M33"/>
    <mergeCell ref="B34:C34"/>
    <mergeCell ref="D34:G34"/>
    <mergeCell ref="H34:M34"/>
    <mergeCell ref="B35:C35"/>
    <mergeCell ref="D35:G35"/>
    <mergeCell ref="H35:M35"/>
    <mergeCell ref="B36:C36"/>
    <mergeCell ref="D36:G36"/>
    <mergeCell ref="H36:M36"/>
    <mergeCell ref="B37:C37"/>
    <mergeCell ref="D37:G37"/>
    <mergeCell ref="H37:M37"/>
    <mergeCell ref="B38:C38"/>
    <mergeCell ref="D38:G38"/>
    <mergeCell ref="H38:M38"/>
    <mergeCell ref="B39:C39"/>
    <mergeCell ref="D39:G39"/>
    <mergeCell ref="H39:M39"/>
    <mergeCell ref="B40:C40"/>
    <mergeCell ref="D40:G40"/>
    <mergeCell ref="H40:M40"/>
    <mergeCell ref="B42:M43"/>
  </mergeCells>
  <pageMargins left="0.25" right="0.25" top="0.3" bottom="0.25" header="0.3" footer="0.3"/>
  <pageSetup paperSize="9" fitToHeight="2" orientation="landscape"/>
  <drawing r:id="rId1"/>
</worksheet>
</file>

<file path=xl/worksheets/sheet11.xml><?xml version="1.0" encoding="utf-8"?>
<worksheet xmlns="http://schemas.openxmlformats.org/spreadsheetml/2006/main" xmlns:r="http://schemas.openxmlformats.org/officeDocument/2006/relationships">
  <sheetPr>
    <tabColor rgb="FF6E7781"/>
    <pageSetUpPr fitToPage="1"/>
  </sheetPr>
  <dimension ref="A1:Y588"/>
  <sheetViews>
    <sheetView zoomScale="85" zoomScaleNormal="85"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9.7109375" style="55" customWidth="1"/>
    <col min="2" max="2" width="17.5703125" style="56" customWidth="1"/>
    <col min="3" max="3" width="21.7109375" style="56" customWidth="1"/>
    <col min="4" max="4" width="18.85546875" style="56" customWidth="1"/>
    <col min="5" max="5" width="21.28515625" style="56" customWidth="1"/>
    <col min="6" max="6" width="16.28515625" style="56" customWidth="1"/>
    <col min="7" max="7" width="21.7109375" style="56" customWidth="1"/>
    <col min="8" max="8" width="21.28515625" style="56" customWidth="1"/>
    <col min="9" max="9" width="21.7109375" style="56" customWidth="1"/>
    <col min="10" max="10" width="21.28515625" style="56" customWidth="1"/>
    <col min="11" max="11" width="11.42578125" style="56" customWidth="1"/>
    <col min="12" max="16" width="21.7109375" style="56" customWidth="1"/>
    <col min="17" max="17" width="15.7109375" style="56" customWidth="1"/>
    <col min="18" max="18" width="10.28515625" style="56" customWidth="1"/>
    <col min="19" max="19" width="15.140625" style="56" customWidth="1"/>
    <col min="20" max="20" width="10.28515625" style="56" customWidth="1"/>
    <col min="21" max="21" width="20.140625" style="56" customWidth="1"/>
    <col min="22" max="22" width="21.7109375" style="56" customWidth="1"/>
    <col min="23" max="23" width="12.5703125" style="56" customWidth="1"/>
    <col min="24" max="24" width="10.7109375" style="56" customWidth="1"/>
    <col min="25" max="25" width="22.7109375" style="55" customWidth="1"/>
  </cols>
  <sheetData>
    <row r="1" spans="1:25" ht="30" customHeight="1">
      <c r="A1" s="57" t="s">
        <v>519</v>
      </c>
      <c r="B1" s="57" t="s">
        <v>520</v>
      </c>
      <c r="C1" s="57" t="s">
        <v>521</v>
      </c>
      <c r="D1" s="57" t="s">
        <v>522</v>
      </c>
      <c r="E1" s="57" t="s">
        <v>523</v>
      </c>
      <c r="F1" s="57" t="s">
        <v>524</v>
      </c>
      <c r="G1" s="57" t="s">
        <v>525</v>
      </c>
      <c r="H1" s="57" t="s">
        <v>526</v>
      </c>
      <c r="I1" s="57" t="s">
        <v>527</v>
      </c>
      <c r="J1" s="57" t="s">
        <v>528</v>
      </c>
      <c r="K1" s="57" t="s">
        <v>529</v>
      </c>
      <c r="L1" s="57" t="s">
        <v>530</v>
      </c>
      <c r="M1" s="57" t="s">
        <v>531</v>
      </c>
      <c r="N1" s="57" t="s">
        <v>532</v>
      </c>
      <c r="O1" s="57" t="s">
        <v>533</v>
      </c>
      <c r="P1" s="57" t="s">
        <v>534</v>
      </c>
      <c r="Q1" s="57" t="s">
        <v>535</v>
      </c>
      <c r="R1" s="57" t="s">
        <v>536</v>
      </c>
      <c r="S1" s="57" t="s">
        <v>537</v>
      </c>
      <c r="T1" s="57" t="s">
        <v>538</v>
      </c>
      <c r="U1" s="57" t="s">
        <v>539</v>
      </c>
      <c r="V1" s="57" t="s">
        <v>540</v>
      </c>
      <c r="W1" s="57" t="s">
        <v>541</v>
      </c>
      <c r="X1" s="57" t="s">
        <v>542</v>
      </c>
      <c r="Y1" s="57" t="s">
        <v>543</v>
      </c>
    </row>
    <row r="2" spans="1:25">
      <c r="A2" s="55" t="s">
        <v>544</v>
      </c>
      <c r="B2" s="56">
        <v>16</v>
      </c>
      <c r="C2" s="56">
        <v>0</v>
      </c>
      <c r="D2" s="56">
        <v>0</v>
      </c>
      <c r="E2" s="56">
        <v>7450000</v>
      </c>
      <c r="F2" s="56">
        <v>1456417.345</v>
      </c>
      <c r="G2" s="56">
        <v>6449594.36</v>
      </c>
      <c r="H2" s="56">
        <v>7450000</v>
      </c>
      <c r="I2" s="56">
        <v>2135461.7740897</v>
      </c>
      <c r="J2" s="56">
        <v>2824016.04</v>
      </c>
      <c r="K2" s="56">
        <v>20.17</v>
      </c>
      <c r="L2" s="56">
        <v>0</v>
      </c>
      <c r="M2" s="56">
        <v>1</v>
      </c>
      <c r="N2" s="56">
        <v>0</v>
      </c>
      <c r="O2" s="56">
        <v>1</v>
      </c>
      <c r="P2" s="56">
        <v>1</v>
      </c>
      <c r="Q2" s="56">
        <v>9273610.4</v>
      </c>
      <c r="R2" s="56">
        <v>24607761.24</v>
      </c>
      <c r="S2" s="56">
        <v>103</v>
      </c>
      <c r="T2" s="56">
        <v>9273610.4</v>
      </c>
      <c r="U2" s="56">
        <v>0</v>
      </c>
      <c r="V2" s="56">
        <v>0</v>
      </c>
      <c r="W2" s="56">
        <v>2276662.58</v>
      </c>
      <c r="X2" s="56">
        <v>13899594.36</v>
      </c>
      <c r="Y2" s="55" t="s">
        <v>272</v>
      </c>
    </row>
    <row r="3" spans="1:25">
      <c r="A3" s="55" t="s">
        <v>545</v>
      </c>
      <c r="B3" s="56">
        <v>62</v>
      </c>
      <c r="C3" s="56">
        <v>0</v>
      </c>
      <c r="D3" s="56">
        <v>1</v>
      </c>
      <c r="F3" s="56">
        <v>19682200.45</v>
      </c>
      <c r="G3" s="56">
        <v>22190947.24</v>
      </c>
      <c r="H3" s="56">
        <v>0</v>
      </c>
      <c r="I3" s="56">
        <v>21731468.2527</v>
      </c>
      <c r="J3" s="56">
        <v>0</v>
      </c>
      <c r="K3" s="56">
        <v>2.2</v>
      </c>
      <c r="L3" s="56">
        <v>2</v>
      </c>
      <c r="M3" s="56">
        <v>1</v>
      </c>
      <c r="N3" s="56">
        <v>1</v>
      </c>
      <c r="O3" s="56">
        <v>5</v>
      </c>
      <c r="P3" s="56">
        <v>5</v>
      </c>
      <c r="Q3" s="56">
        <v>22190947.24</v>
      </c>
      <c r="R3" s="56">
        <v>83952965.28</v>
      </c>
      <c r="S3" s="56">
        <v>132</v>
      </c>
      <c r="T3" s="56">
        <v>35756492.56</v>
      </c>
      <c r="U3" s="56">
        <v>0</v>
      </c>
      <c r="V3" s="56">
        <v>0</v>
      </c>
      <c r="W3" s="56">
        <v>24663044.24</v>
      </c>
      <c r="X3" s="56">
        <v>22190947.24</v>
      </c>
      <c r="Y3" s="55" t="s">
        <v>546</v>
      </c>
    </row>
    <row r="4" spans="1:25">
      <c r="A4" s="55" t="s">
        <v>547</v>
      </c>
      <c r="B4" s="56">
        <v>9</v>
      </c>
      <c r="C4" s="56">
        <v>0</v>
      </c>
      <c r="D4" s="56">
        <v>0</v>
      </c>
      <c r="F4" s="56">
        <v>675105.355</v>
      </c>
      <c r="G4" s="56">
        <v>1644000</v>
      </c>
      <c r="H4" s="56">
        <v>0</v>
      </c>
      <c r="I4" s="56">
        <v>831427.70574</v>
      </c>
      <c r="J4" s="56">
        <v>0</v>
      </c>
      <c r="K4" s="56">
        <v>4</v>
      </c>
      <c r="L4" s="56">
        <v>0</v>
      </c>
      <c r="M4" s="56">
        <v>1</v>
      </c>
      <c r="N4" s="56">
        <v>0</v>
      </c>
      <c r="O4" s="56">
        <v>1</v>
      </c>
      <c r="P4" s="56">
        <v>1</v>
      </c>
      <c r="Q4" s="56">
        <v>1644000</v>
      </c>
      <c r="R4" s="56">
        <v>4304586.16</v>
      </c>
      <c r="S4" s="56">
        <v>32</v>
      </c>
      <c r="T4" s="56">
        <v>1644000</v>
      </c>
      <c r="U4" s="56">
        <v>0</v>
      </c>
      <c r="V4" s="56">
        <v>0</v>
      </c>
      <c r="W4" s="56">
        <v>831427.71</v>
      </c>
      <c r="X4" s="56">
        <v>1644000</v>
      </c>
      <c r="Y4" s="55" t="s">
        <v>272</v>
      </c>
    </row>
    <row r="5" spans="1:25">
      <c r="A5" s="55" t="s">
        <v>548</v>
      </c>
      <c r="B5" s="56">
        <v>2</v>
      </c>
      <c r="C5" s="56">
        <v>0</v>
      </c>
      <c r="D5" s="56">
        <v>0</v>
      </c>
      <c r="E5" s="56">
        <v>23840000</v>
      </c>
      <c r="F5" s="56">
        <v>644952.0978</v>
      </c>
      <c r="G5" s="56">
        <v>0</v>
      </c>
      <c r="H5" s="56">
        <v>23840000</v>
      </c>
      <c r="I5" s="56">
        <v>0</v>
      </c>
      <c r="J5" s="56">
        <v>278431.23</v>
      </c>
      <c r="K5" s="56">
        <v>6</v>
      </c>
      <c r="M5" s="56">
        <v>1</v>
      </c>
      <c r="N5" s="56">
        <v>0</v>
      </c>
      <c r="O5" s="56">
        <v>1</v>
      </c>
      <c r="P5" s="56">
        <v>1</v>
      </c>
      <c r="Q5" s="56">
        <v>278431.23</v>
      </c>
      <c r="R5" s="56">
        <v>23840000</v>
      </c>
      <c r="S5" s="56">
        <v>14</v>
      </c>
      <c r="T5" s="56">
        <v>278431.23</v>
      </c>
      <c r="U5" s="56">
        <v>0</v>
      </c>
      <c r="V5" s="56">
        <v>0</v>
      </c>
      <c r="W5" s="56">
        <v>13921.56</v>
      </c>
      <c r="X5" s="56">
        <v>23840000</v>
      </c>
      <c r="Y5" s="55" t="s">
        <v>272</v>
      </c>
    </row>
    <row r="6" spans="1:25">
      <c r="A6" s="55" t="s">
        <v>549</v>
      </c>
      <c r="B6" s="56">
        <v>4</v>
      </c>
      <c r="C6" s="56">
        <v>0</v>
      </c>
      <c r="D6" s="56">
        <v>0</v>
      </c>
      <c r="E6" s="56">
        <v>44700000</v>
      </c>
      <c r="F6" s="56">
        <v>394316.055</v>
      </c>
      <c r="G6" s="56">
        <v>0</v>
      </c>
      <c r="H6" s="56">
        <v>44700000</v>
      </c>
      <c r="I6" s="56">
        <v>0</v>
      </c>
      <c r="J6" s="56">
        <v>22898691.62</v>
      </c>
      <c r="K6" s="56">
        <v>47</v>
      </c>
      <c r="M6" s="56">
        <v>1</v>
      </c>
      <c r="N6" s="56">
        <v>0</v>
      </c>
      <c r="O6" s="56">
        <v>1</v>
      </c>
      <c r="P6" s="56">
        <v>1</v>
      </c>
      <c r="Q6" s="56">
        <v>22898691.62</v>
      </c>
      <c r="R6" s="56">
        <v>44926480</v>
      </c>
      <c r="S6" s="56">
        <v>60</v>
      </c>
      <c r="T6" s="56">
        <v>22898691.62</v>
      </c>
      <c r="U6" s="56">
        <v>0</v>
      </c>
      <c r="V6" s="56">
        <v>0</v>
      </c>
      <c r="W6" s="56">
        <v>1144934.58</v>
      </c>
      <c r="X6" s="56">
        <v>44700000</v>
      </c>
      <c r="Y6" s="55" t="s">
        <v>272</v>
      </c>
    </row>
    <row r="7" spans="1:25">
      <c r="A7" s="55" t="s">
        <v>550</v>
      </c>
      <c r="B7" s="56">
        <v>1</v>
      </c>
      <c r="C7" s="56">
        <v>0</v>
      </c>
      <c r="D7" s="56">
        <v>0</v>
      </c>
      <c r="E7" s="56">
        <v>29800000</v>
      </c>
      <c r="F7" s="56">
        <v>616111.0507</v>
      </c>
      <c r="G7" s="56">
        <v>0</v>
      </c>
      <c r="H7" s="56">
        <v>29800000</v>
      </c>
      <c r="I7" s="56">
        <v>0</v>
      </c>
      <c r="J7" s="56">
        <v>5800</v>
      </c>
      <c r="K7" s="56">
        <v>83</v>
      </c>
      <c r="N7" s="56">
        <v>0</v>
      </c>
      <c r="O7" s="56">
        <v>1</v>
      </c>
      <c r="P7" s="56">
        <v>1</v>
      </c>
      <c r="Q7" s="56">
        <v>5800</v>
      </c>
      <c r="R7" s="56">
        <v>29800000</v>
      </c>
      <c r="S7" s="56">
        <v>83</v>
      </c>
      <c r="T7" s="56">
        <v>5800</v>
      </c>
      <c r="U7" s="56">
        <v>0</v>
      </c>
      <c r="V7" s="56">
        <v>0</v>
      </c>
      <c r="W7" s="56">
        <v>290</v>
      </c>
      <c r="X7" s="56">
        <v>29800000</v>
      </c>
      <c r="Y7" s="55" t="s">
        <v>272</v>
      </c>
    </row>
    <row r="8" spans="1:25">
      <c r="A8" s="55" t="s">
        <v>551</v>
      </c>
      <c r="B8" s="56">
        <v>4</v>
      </c>
      <c r="C8" s="56">
        <v>0</v>
      </c>
      <c r="D8" s="56">
        <v>0</v>
      </c>
      <c r="E8" s="56">
        <v>134100000</v>
      </c>
      <c r="F8" s="56">
        <v>3290277.124</v>
      </c>
      <c r="G8" s="56">
        <v>0</v>
      </c>
      <c r="H8" s="56">
        <v>149000000</v>
      </c>
      <c r="I8" s="56">
        <v>0</v>
      </c>
      <c r="J8" s="56">
        <v>6159231.33</v>
      </c>
      <c r="K8" s="56">
        <v>25</v>
      </c>
      <c r="M8" s="56">
        <v>1</v>
      </c>
      <c r="N8" s="56">
        <v>0</v>
      </c>
      <c r="O8" s="56">
        <v>1</v>
      </c>
      <c r="P8" s="56">
        <v>1</v>
      </c>
      <c r="Q8" s="56">
        <v>6159231.33</v>
      </c>
      <c r="R8" s="56">
        <v>149000000</v>
      </c>
      <c r="S8" s="56">
        <v>25</v>
      </c>
      <c r="T8" s="56">
        <v>6159231.33</v>
      </c>
      <c r="U8" s="56">
        <v>0</v>
      </c>
      <c r="V8" s="56">
        <v>0</v>
      </c>
      <c r="W8" s="56">
        <v>307961.57</v>
      </c>
      <c r="X8" s="56">
        <v>149000000</v>
      </c>
      <c r="Y8" s="55" t="s">
        <v>272</v>
      </c>
    </row>
    <row r="9" spans="1:25">
      <c r="A9" s="55" t="s">
        <v>552</v>
      </c>
      <c r="B9" s="56">
        <v>2</v>
      </c>
      <c r="C9" s="56">
        <v>0</v>
      </c>
      <c r="D9" s="56">
        <v>0</v>
      </c>
      <c r="F9" s="56">
        <v>53376326.07</v>
      </c>
      <c r="G9" s="56">
        <v>0</v>
      </c>
      <c r="H9" s="56">
        <v>0</v>
      </c>
      <c r="I9" s="56">
        <v>0</v>
      </c>
      <c r="J9" s="56">
        <v>0</v>
      </c>
      <c r="K9" s="56">
        <v>55</v>
      </c>
      <c r="M9" s="56">
        <v>1</v>
      </c>
      <c r="N9" s="56">
        <v>0</v>
      </c>
      <c r="O9" s="56">
        <v>1</v>
      </c>
      <c r="P9" s="56">
        <v>1</v>
      </c>
      <c r="Q9" s="56">
        <v>0</v>
      </c>
      <c r="R9" s="56">
        <v>3605008381</v>
      </c>
      <c r="S9" s="56">
        <v>55</v>
      </c>
      <c r="T9" s="56">
        <v>3629203068</v>
      </c>
      <c r="U9" s="56">
        <v>0</v>
      </c>
      <c r="V9" s="56">
        <v>0</v>
      </c>
      <c r="W9" s="56">
        <v>53376326.07</v>
      </c>
      <c r="X9" s="56">
        <v>0</v>
      </c>
      <c r="Y9" s="55" t="s">
        <v>272</v>
      </c>
    </row>
    <row r="10" spans="1:25">
      <c r="A10" s="55" t="s">
        <v>553</v>
      </c>
      <c r="B10" s="56">
        <v>4</v>
      </c>
      <c r="C10" s="56">
        <v>0</v>
      </c>
      <c r="D10" s="56">
        <v>0</v>
      </c>
      <c r="E10" s="56">
        <v>13410000</v>
      </c>
      <c r="F10" s="56">
        <v>5450451.111</v>
      </c>
      <c r="G10" s="56">
        <v>0</v>
      </c>
      <c r="H10" s="56">
        <v>13410000</v>
      </c>
      <c r="I10" s="56">
        <v>0</v>
      </c>
      <c r="J10" s="56">
        <v>5781948</v>
      </c>
      <c r="K10" s="56">
        <v>31.5</v>
      </c>
      <c r="L10" s="56">
        <v>0</v>
      </c>
      <c r="M10" s="56">
        <v>1</v>
      </c>
      <c r="N10" s="56">
        <v>0</v>
      </c>
      <c r="O10" s="56">
        <v>1</v>
      </c>
      <c r="P10" s="56">
        <v>1</v>
      </c>
      <c r="Q10" s="56">
        <v>5781948</v>
      </c>
      <c r="R10" s="56">
        <v>426680873</v>
      </c>
      <c r="S10" s="56">
        <v>56</v>
      </c>
      <c r="T10" s="56">
        <v>95807834.16</v>
      </c>
      <c r="U10" s="56">
        <v>0</v>
      </c>
      <c r="V10" s="56">
        <v>0</v>
      </c>
      <c r="W10" s="56">
        <v>5739548.51</v>
      </c>
      <c r="X10" s="56">
        <v>13410000</v>
      </c>
      <c r="Y10" s="55" t="s">
        <v>272</v>
      </c>
    </row>
    <row r="11" spans="1:25">
      <c r="A11" s="55" t="s">
        <v>554</v>
      </c>
      <c r="B11" s="56">
        <v>67</v>
      </c>
      <c r="C11" s="56">
        <v>0</v>
      </c>
      <c r="D11" s="56">
        <v>0</v>
      </c>
      <c r="F11" s="56">
        <v>2721962.995</v>
      </c>
      <c r="G11" s="56">
        <v>2643690.05</v>
      </c>
      <c r="H11" s="56">
        <v>0</v>
      </c>
      <c r="I11" s="56">
        <v>3139010.09821</v>
      </c>
      <c r="J11" s="56">
        <v>0</v>
      </c>
      <c r="K11" s="56">
        <v>2</v>
      </c>
      <c r="L11" s="56">
        <v>0</v>
      </c>
      <c r="M11" s="56">
        <v>1</v>
      </c>
      <c r="N11" s="56">
        <v>0</v>
      </c>
      <c r="O11" s="56">
        <v>1</v>
      </c>
      <c r="P11" s="56">
        <v>1</v>
      </c>
      <c r="Q11" s="56">
        <v>2643690.05</v>
      </c>
      <c r="R11" s="56">
        <v>4056881.109999999</v>
      </c>
      <c r="S11" s="56">
        <v>30</v>
      </c>
      <c r="T11" s="56">
        <v>2643690.05</v>
      </c>
      <c r="U11" s="56">
        <v>0</v>
      </c>
      <c r="V11" s="56">
        <v>0</v>
      </c>
      <c r="W11" s="56">
        <v>3139010.1</v>
      </c>
      <c r="X11" s="56">
        <v>2643690.05</v>
      </c>
      <c r="Y11" s="55" t="s">
        <v>272</v>
      </c>
    </row>
    <row r="12" spans="1:25">
      <c r="A12" s="55" t="s">
        <v>555</v>
      </c>
      <c r="B12" s="56">
        <v>2</v>
      </c>
      <c r="C12" s="56">
        <v>0</v>
      </c>
      <c r="D12" s="56">
        <v>0</v>
      </c>
      <c r="E12" s="56">
        <v>52150000</v>
      </c>
      <c r="F12" s="56">
        <v>763524.4574</v>
      </c>
      <c r="G12" s="56">
        <v>0</v>
      </c>
      <c r="H12" s="56">
        <v>104300000</v>
      </c>
      <c r="I12" s="56">
        <v>0</v>
      </c>
      <c r="J12" s="56">
        <v>11619.3</v>
      </c>
      <c r="K12" s="56">
        <v>11</v>
      </c>
      <c r="N12" s="56">
        <v>0</v>
      </c>
      <c r="O12" s="56">
        <v>1</v>
      </c>
      <c r="P12" s="56">
        <v>1</v>
      </c>
      <c r="Q12" s="56">
        <v>11619.3</v>
      </c>
      <c r="R12" s="56">
        <v>104300000</v>
      </c>
      <c r="S12" s="56">
        <v>11</v>
      </c>
      <c r="T12" s="56">
        <v>11619.3</v>
      </c>
      <c r="U12" s="56">
        <v>0</v>
      </c>
      <c r="V12" s="56">
        <v>0</v>
      </c>
      <c r="W12" s="56">
        <v>580.97</v>
      </c>
      <c r="X12" s="56">
        <v>104300000</v>
      </c>
      <c r="Y12" s="55" t="s">
        <v>272</v>
      </c>
    </row>
    <row r="13" spans="1:25">
      <c r="A13" s="55" t="s">
        <v>556</v>
      </c>
      <c r="B13" s="56">
        <v>3</v>
      </c>
      <c r="C13" s="56">
        <v>0</v>
      </c>
      <c r="D13" s="56">
        <v>0</v>
      </c>
      <c r="E13" s="56">
        <v>7450000</v>
      </c>
      <c r="F13" s="56">
        <v>1964083.115</v>
      </c>
      <c r="G13" s="56">
        <v>0</v>
      </c>
      <c r="H13" s="56">
        <v>7450000</v>
      </c>
      <c r="I13" s="56">
        <v>1964083.115</v>
      </c>
      <c r="J13" s="56">
        <v>0</v>
      </c>
      <c r="K13" s="56">
        <v>26</v>
      </c>
      <c r="L13" s="56">
        <v>0</v>
      </c>
      <c r="M13" s="56">
        <v>1</v>
      </c>
      <c r="N13" s="56">
        <v>0</v>
      </c>
      <c r="O13" s="56">
        <v>1</v>
      </c>
      <c r="P13" s="56">
        <v>1</v>
      </c>
      <c r="Q13" s="56">
        <v>0</v>
      </c>
      <c r="R13" s="56">
        <v>70030000</v>
      </c>
      <c r="S13" s="56">
        <v>45</v>
      </c>
      <c r="T13" s="56">
        <v>0</v>
      </c>
      <c r="U13" s="56">
        <v>0</v>
      </c>
      <c r="V13" s="56">
        <v>0</v>
      </c>
      <c r="W13" s="56">
        <v>1964083.12</v>
      </c>
      <c r="X13" s="56">
        <v>7450000</v>
      </c>
      <c r="Y13" s="55" t="s">
        <v>272</v>
      </c>
    </row>
    <row r="14" spans="1:25">
      <c r="A14" s="55" t="s">
        <v>557</v>
      </c>
      <c r="B14" s="56">
        <v>1</v>
      </c>
      <c r="C14" s="56">
        <v>0</v>
      </c>
      <c r="D14" s="56">
        <v>0</v>
      </c>
      <c r="F14" s="56">
        <v>7949204.743</v>
      </c>
      <c r="G14" s="56">
        <v>0</v>
      </c>
      <c r="H14" s="56">
        <v>0</v>
      </c>
      <c r="I14" s="56">
        <v>0</v>
      </c>
      <c r="J14" s="56">
        <v>0</v>
      </c>
      <c r="K14" s="56">
        <v>20</v>
      </c>
      <c r="L14" s="56">
        <v>0</v>
      </c>
      <c r="N14" s="56">
        <v>0</v>
      </c>
      <c r="O14" s="56">
        <v>1</v>
      </c>
      <c r="P14" s="56">
        <v>1</v>
      </c>
      <c r="Q14" s="56">
        <v>0</v>
      </c>
      <c r="R14" s="56">
        <v>285112683.1</v>
      </c>
      <c r="S14" s="56">
        <v>20</v>
      </c>
      <c r="T14" s="56">
        <v>265977603.7</v>
      </c>
      <c r="U14" s="56">
        <v>0</v>
      </c>
      <c r="V14" s="56">
        <v>0</v>
      </c>
      <c r="W14" s="56">
        <v>7949204.74</v>
      </c>
      <c r="X14" s="56">
        <v>0</v>
      </c>
      <c r="Y14" s="55" t="s">
        <v>272</v>
      </c>
    </row>
    <row r="15" spans="1:25">
      <c r="A15" s="55" t="s">
        <v>558</v>
      </c>
      <c r="B15" s="56">
        <v>1</v>
      </c>
      <c r="C15" s="56">
        <v>0</v>
      </c>
      <c r="D15" s="56">
        <v>0</v>
      </c>
      <c r="F15" s="56">
        <v>11630217.44</v>
      </c>
      <c r="G15" s="56">
        <v>0</v>
      </c>
      <c r="H15" s="56">
        <v>0</v>
      </c>
      <c r="I15" s="56">
        <v>0</v>
      </c>
      <c r="J15" s="56">
        <v>0</v>
      </c>
      <c r="K15" s="56">
        <v>16</v>
      </c>
      <c r="L15" s="56">
        <v>0</v>
      </c>
      <c r="N15" s="56">
        <v>0</v>
      </c>
      <c r="O15" s="56">
        <v>1</v>
      </c>
      <c r="P15" s="56">
        <v>1</v>
      </c>
      <c r="Q15" s="56">
        <v>0</v>
      </c>
      <c r="R15" s="56">
        <v>992299433.3</v>
      </c>
      <c r="S15" s="56">
        <v>16</v>
      </c>
      <c r="T15" s="56">
        <v>912382700.4</v>
      </c>
      <c r="U15" s="56">
        <v>0</v>
      </c>
      <c r="V15" s="56">
        <v>0</v>
      </c>
      <c r="W15" s="56">
        <v>11630217.44</v>
      </c>
      <c r="X15" s="56">
        <v>0</v>
      </c>
      <c r="Y15" s="55" t="s">
        <v>272</v>
      </c>
    </row>
    <row r="16" spans="1:25">
      <c r="A16" s="55" t="s">
        <v>559</v>
      </c>
      <c r="B16" s="56">
        <v>179</v>
      </c>
      <c r="C16" s="56">
        <v>0</v>
      </c>
      <c r="D16" s="56">
        <v>0</v>
      </c>
      <c r="E16" s="56">
        <v>10430000</v>
      </c>
      <c r="F16" s="56">
        <v>1449287.48</v>
      </c>
      <c r="G16" s="56">
        <v>0</v>
      </c>
      <c r="H16" s="56">
        <v>10430000</v>
      </c>
      <c r="I16" s="56">
        <v>0</v>
      </c>
      <c r="J16" s="56">
        <v>0</v>
      </c>
      <c r="K16" s="56">
        <v>37.67</v>
      </c>
      <c r="L16" s="56">
        <v>0</v>
      </c>
      <c r="M16" s="56">
        <v>1</v>
      </c>
      <c r="N16" s="56">
        <v>0</v>
      </c>
      <c r="O16" s="56">
        <v>1</v>
      </c>
      <c r="P16" s="56">
        <v>1</v>
      </c>
      <c r="Q16" s="56">
        <v>8448308.640000001</v>
      </c>
      <c r="R16" s="56">
        <v>210588220.24</v>
      </c>
      <c r="S16" s="56">
        <v>64</v>
      </c>
      <c r="T16" s="56">
        <v>146798966.94</v>
      </c>
      <c r="U16" s="56">
        <v>0</v>
      </c>
      <c r="V16" s="56">
        <v>0</v>
      </c>
      <c r="W16" s="56">
        <v>2711223.59</v>
      </c>
      <c r="X16" s="56">
        <v>10430000</v>
      </c>
      <c r="Y16" s="55" t="s">
        <v>272</v>
      </c>
    </row>
    <row r="17" spans="1:25">
      <c r="A17" s="55" t="s">
        <v>560</v>
      </c>
      <c r="B17" s="56">
        <v>9</v>
      </c>
      <c r="C17" s="56">
        <v>0</v>
      </c>
      <c r="D17" s="56">
        <v>0</v>
      </c>
      <c r="E17" s="56">
        <v>151980000</v>
      </c>
      <c r="F17" s="56">
        <v>2605752.048</v>
      </c>
      <c r="G17" s="56">
        <v>0</v>
      </c>
      <c r="H17" s="56">
        <v>151980000</v>
      </c>
      <c r="I17" s="56">
        <v>0</v>
      </c>
      <c r="J17" s="56">
        <v>0</v>
      </c>
      <c r="K17" s="56">
        <v>91</v>
      </c>
      <c r="M17" s="56">
        <v>1</v>
      </c>
      <c r="N17" s="56">
        <v>0</v>
      </c>
      <c r="O17" s="56">
        <v>1</v>
      </c>
      <c r="P17" s="56">
        <v>1</v>
      </c>
      <c r="Q17" s="56">
        <v>0</v>
      </c>
      <c r="R17" s="56">
        <v>260121197.65</v>
      </c>
      <c r="S17" s="56">
        <v>91</v>
      </c>
      <c r="T17" s="56">
        <v>0</v>
      </c>
      <c r="U17" s="56">
        <v>0</v>
      </c>
      <c r="V17" s="56">
        <v>0</v>
      </c>
      <c r="W17" s="56">
        <v>0</v>
      </c>
      <c r="X17" s="56">
        <v>151980000</v>
      </c>
      <c r="Y17" s="55" t="s">
        <v>272</v>
      </c>
    </row>
    <row r="18" spans="1:25">
      <c r="A18" s="55" t="s">
        <v>561</v>
      </c>
      <c r="B18" s="56">
        <v>17</v>
      </c>
      <c r="C18" s="56">
        <v>0</v>
      </c>
      <c r="D18" s="56">
        <v>0</v>
      </c>
      <c r="E18" s="56">
        <v>53640000</v>
      </c>
      <c r="F18" s="56">
        <v>1660999.878</v>
      </c>
      <c r="G18" s="56">
        <v>0</v>
      </c>
      <c r="H18" s="56">
        <v>315135000</v>
      </c>
      <c r="I18" s="56">
        <v>0</v>
      </c>
      <c r="J18" s="56">
        <v>46760217.36</v>
      </c>
      <c r="K18" s="56">
        <v>39.1</v>
      </c>
      <c r="L18" s="56">
        <v>0</v>
      </c>
      <c r="M18" s="56">
        <v>2</v>
      </c>
      <c r="N18" s="56">
        <v>0</v>
      </c>
      <c r="O18" s="56">
        <v>1</v>
      </c>
      <c r="P18" s="56">
        <v>2</v>
      </c>
      <c r="Q18" s="56">
        <v>46760217.36</v>
      </c>
      <c r="R18" s="56">
        <v>437315000</v>
      </c>
      <c r="S18" s="56">
        <v>101</v>
      </c>
      <c r="T18" s="56">
        <v>46760217.36</v>
      </c>
      <c r="U18" s="56">
        <v>0</v>
      </c>
      <c r="V18" s="56">
        <v>0</v>
      </c>
      <c r="W18" s="56">
        <v>2338010.87</v>
      </c>
      <c r="X18" s="56">
        <v>315135000</v>
      </c>
      <c r="Y18" s="55" t="s">
        <v>272</v>
      </c>
    </row>
    <row r="19" spans="1:25">
      <c r="A19" s="55" t="s">
        <v>562</v>
      </c>
      <c r="B19" s="56">
        <v>4</v>
      </c>
      <c r="C19" s="56">
        <v>0</v>
      </c>
      <c r="D19" s="56">
        <v>0</v>
      </c>
      <c r="F19" s="56">
        <v>6780415.767</v>
      </c>
      <c r="G19" s="56">
        <v>0</v>
      </c>
      <c r="H19" s="56">
        <v>0</v>
      </c>
      <c r="I19" s="56">
        <v>0</v>
      </c>
      <c r="J19" s="56">
        <v>0</v>
      </c>
      <c r="K19" s="56">
        <v>52</v>
      </c>
      <c r="L19" s="56">
        <v>5</v>
      </c>
      <c r="M19" s="56">
        <v>1</v>
      </c>
      <c r="N19" s="56">
        <v>5</v>
      </c>
      <c r="O19" s="56">
        <v>2</v>
      </c>
      <c r="P19" s="56">
        <v>2</v>
      </c>
      <c r="Q19" s="56">
        <v>0</v>
      </c>
      <c r="R19" s="56">
        <v>2467301759.3</v>
      </c>
      <c r="S19" s="56">
        <v>61</v>
      </c>
      <c r="T19" s="56">
        <v>40410481.44</v>
      </c>
      <c r="U19" s="56">
        <v>0</v>
      </c>
      <c r="V19" s="56">
        <v>2</v>
      </c>
      <c r="W19" s="56">
        <v>6780415.77</v>
      </c>
      <c r="X19" s="56">
        <v>0</v>
      </c>
      <c r="Y19" s="55" t="s">
        <v>563</v>
      </c>
    </row>
    <row r="20" spans="1:25">
      <c r="A20" s="55" t="s">
        <v>564</v>
      </c>
      <c r="B20" s="56">
        <v>1</v>
      </c>
      <c r="C20" s="56">
        <v>0</v>
      </c>
      <c r="D20" s="56">
        <v>0</v>
      </c>
      <c r="E20" s="56">
        <v>59600000</v>
      </c>
      <c r="F20" s="56">
        <v>654449.5349</v>
      </c>
      <c r="G20" s="56">
        <v>0</v>
      </c>
      <c r="H20" s="56">
        <v>59600000</v>
      </c>
      <c r="I20" s="56">
        <v>0</v>
      </c>
      <c r="J20" s="56">
        <v>31036313.37</v>
      </c>
      <c r="K20" s="56">
        <v>22</v>
      </c>
      <c r="N20" s="56">
        <v>0</v>
      </c>
      <c r="O20" s="56">
        <v>1</v>
      </c>
      <c r="P20" s="56">
        <v>1</v>
      </c>
      <c r="Q20" s="56">
        <v>31036313.37</v>
      </c>
      <c r="R20" s="56">
        <v>59600000</v>
      </c>
      <c r="S20" s="56">
        <v>22</v>
      </c>
      <c r="T20" s="56">
        <v>31036313.37</v>
      </c>
      <c r="U20" s="56">
        <v>0</v>
      </c>
      <c r="V20" s="56">
        <v>0</v>
      </c>
      <c r="W20" s="56">
        <v>1551815.67</v>
      </c>
      <c r="X20" s="56">
        <v>59600000</v>
      </c>
      <c r="Y20" s="55" t="s">
        <v>272</v>
      </c>
    </row>
    <row r="21" spans="1:25">
      <c r="A21" s="55" t="s">
        <v>565</v>
      </c>
      <c r="B21" s="56">
        <v>4</v>
      </c>
      <c r="C21" s="56">
        <v>0</v>
      </c>
      <c r="D21" s="56">
        <v>0</v>
      </c>
      <c r="E21" s="56">
        <v>15332100</v>
      </c>
      <c r="F21" s="56">
        <v>296274.8699</v>
      </c>
      <c r="G21" s="56">
        <v>0</v>
      </c>
      <c r="H21" s="56">
        <v>25762100</v>
      </c>
      <c r="I21" s="56">
        <v>0</v>
      </c>
      <c r="J21" s="56">
        <v>18047036.7</v>
      </c>
      <c r="K21" s="56">
        <v>28.5</v>
      </c>
      <c r="L21" s="56">
        <v>0</v>
      </c>
      <c r="M21" s="56">
        <v>1</v>
      </c>
      <c r="N21" s="56">
        <v>0</v>
      </c>
      <c r="O21" s="56">
        <v>1</v>
      </c>
      <c r="P21" s="56">
        <v>1</v>
      </c>
      <c r="Q21" s="56">
        <v>18047036.7</v>
      </c>
      <c r="R21" s="56">
        <v>35447100</v>
      </c>
      <c r="S21" s="56">
        <v>44</v>
      </c>
      <c r="T21" s="56">
        <v>18047036.7</v>
      </c>
      <c r="U21" s="56">
        <v>0</v>
      </c>
      <c r="V21" s="56">
        <v>0</v>
      </c>
      <c r="W21" s="56">
        <v>902351.84</v>
      </c>
      <c r="X21" s="56">
        <v>25762100</v>
      </c>
      <c r="Y21" s="55" t="s">
        <v>272</v>
      </c>
    </row>
    <row r="22" spans="1:25">
      <c r="A22" s="55" t="s">
        <v>566</v>
      </c>
      <c r="B22" s="56">
        <v>23</v>
      </c>
      <c r="C22" s="56">
        <v>0</v>
      </c>
      <c r="D22" s="56">
        <v>0</v>
      </c>
      <c r="E22" s="56">
        <v>12963000</v>
      </c>
      <c r="F22" s="56">
        <v>408052.6243</v>
      </c>
      <c r="G22" s="56">
        <v>637835.08</v>
      </c>
      <c r="H22" s="56">
        <v>26373000</v>
      </c>
      <c r="I22" s="56">
        <v>441619.5363700001</v>
      </c>
      <c r="J22" s="56">
        <v>240587.07</v>
      </c>
      <c r="K22" s="56">
        <v>42.2</v>
      </c>
      <c r="L22" s="56">
        <v>0</v>
      </c>
      <c r="M22" s="56">
        <v>1</v>
      </c>
      <c r="N22" s="56">
        <v>26</v>
      </c>
      <c r="O22" s="56">
        <v>2</v>
      </c>
      <c r="P22" s="56">
        <v>2</v>
      </c>
      <c r="Q22" s="56">
        <v>878422.1499999999</v>
      </c>
      <c r="R22" s="56">
        <v>142917711.23</v>
      </c>
      <c r="S22" s="56">
        <v>86</v>
      </c>
      <c r="T22" s="56">
        <v>878422.1499999999</v>
      </c>
      <c r="U22" s="56">
        <v>2</v>
      </c>
      <c r="V22" s="56">
        <v>0</v>
      </c>
      <c r="W22" s="56">
        <v>453648.89</v>
      </c>
      <c r="X22" s="56">
        <v>27010835.08</v>
      </c>
      <c r="Y22" s="55" t="s">
        <v>272</v>
      </c>
    </row>
    <row r="23" spans="1:25">
      <c r="A23" s="55" t="s">
        <v>567</v>
      </c>
      <c r="B23" s="56">
        <v>2</v>
      </c>
      <c r="C23" s="56">
        <v>0</v>
      </c>
      <c r="D23" s="56">
        <v>0</v>
      </c>
      <c r="E23" s="56">
        <v>38740000</v>
      </c>
      <c r="F23" s="56">
        <v>1048047.159</v>
      </c>
      <c r="G23" s="56">
        <v>0</v>
      </c>
      <c r="H23" s="56">
        <v>43210000</v>
      </c>
      <c r="I23" s="56">
        <v>0</v>
      </c>
      <c r="J23" s="56">
        <v>2677439.8</v>
      </c>
      <c r="K23" s="56">
        <v>27</v>
      </c>
      <c r="N23" s="56">
        <v>0</v>
      </c>
      <c r="O23" s="56">
        <v>1</v>
      </c>
      <c r="P23" s="56">
        <v>1</v>
      </c>
      <c r="Q23" s="56">
        <v>2677439.8</v>
      </c>
      <c r="R23" s="56">
        <v>43210000</v>
      </c>
      <c r="S23" s="56">
        <v>31</v>
      </c>
      <c r="T23" s="56">
        <v>2677439.8</v>
      </c>
      <c r="U23" s="56">
        <v>0</v>
      </c>
      <c r="V23" s="56">
        <v>0</v>
      </c>
      <c r="W23" s="56">
        <v>133871.99</v>
      </c>
      <c r="X23" s="56">
        <v>43210000</v>
      </c>
      <c r="Y23" s="55" t="s">
        <v>272</v>
      </c>
    </row>
    <row r="24" spans="1:25">
      <c r="A24" s="55" t="s">
        <v>568</v>
      </c>
      <c r="B24" s="56">
        <v>10</v>
      </c>
      <c r="C24" s="56">
        <v>0</v>
      </c>
      <c r="D24" s="56">
        <v>6</v>
      </c>
      <c r="F24" s="56">
        <v>788168.8205</v>
      </c>
      <c r="G24" s="56">
        <v>3347174.4</v>
      </c>
      <c r="H24" s="56">
        <v>0</v>
      </c>
      <c r="I24" s="56">
        <v>788168.8205</v>
      </c>
      <c r="J24" s="56">
        <v>0</v>
      </c>
      <c r="K24" s="56">
        <v>49</v>
      </c>
      <c r="L24" s="56">
        <v>1247</v>
      </c>
      <c r="N24" s="56">
        <v>3119</v>
      </c>
      <c r="O24" s="56">
        <v>5</v>
      </c>
      <c r="P24" s="56">
        <v>5</v>
      </c>
      <c r="Q24" s="56">
        <v>46078149.45999999</v>
      </c>
      <c r="R24" s="56">
        <v>67809023.88</v>
      </c>
      <c r="S24" s="56">
        <v>152</v>
      </c>
      <c r="T24" s="56">
        <v>46078149.45999999</v>
      </c>
      <c r="U24" s="56">
        <v>1</v>
      </c>
      <c r="V24" s="56">
        <v>0</v>
      </c>
      <c r="W24" s="56">
        <v>788168.8199999999</v>
      </c>
      <c r="X24" s="56">
        <v>3347174.4</v>
      </c>
      <c r="Y24" s="55" t="s">
        <v>546</v>
      </c>
    </row>
    <row r="25" spans="1:25">
      <c r="A25" s="55" t="s">
        <v>569</v>
      </c>
      <c r="B25" s="56">
        <v>4</v>
      </c>
      <c r="C25" s="56">
        <v>0</v>
      </c>
      <c r="D25" s="56">
        <v>0</v>
      </c>
      <c r="E25" s="56">
        <v>169120960</v>
      </c>
      <c r="F25" s="56">
        <v>3095949.044</v>
      </c>
      <c r="G25" s="56">
        <v>0</v>
      </c>
      <c r="H25" s="56">
        <v>215310960</v>
      </c>
      <c r="I25" s="56">
        <v>0</v>
      </c>
      <c r="J25" s="56">
        <v>15661337.89</v>
      </c>
      <c r="K25" s="56">
        <v>63</v>
      </c>
      <c r="L25" s="56">
        <v>0</v>
      </c>
      <c r="N25" s="56">
        <v>0</v>
      </c>
      <c r="O25" s="56">
        <v>1</v>
      </c>
      <c r="P25" s="56">
        <v>1</v>
      </c>
      <c r="Q25" s="56">
        <v>15661337.89</v>
      </c>
      <c r="R25" s="56">
        <v>224250960</v>
      </c>
      <c r="S25" s="56">
        <v>144</v>
      </c>
      <c r="T25" s="56">
        <v>15661337.89</v>
      </c>
      <c r="U25" s="56">
        <v>0</v>
      </c>
      <c r="V25" s="56">
        <v>0</v>
      </c>
      <c r="W25" s="56">
        <v>783066.89</v>
      </c>
      <c r="X25" s="56">
        <v>215310960</v>
      </c>
      <c r="Y25" s="55" t="s">
        <v>272</v>
      </c>
    </row>
    <row r="26" spans="1:25">
      <c r="A26" s="55" t="s">
        <v>570</v>
      </c>
      <c r="B26" s="56">
        <v>5</v>
      </c>
      <c r="C26" s="56">
        <v>0</v>
      </c>
      <c r="D26" s="56">
        <v>0</v>
      </c>
      <c r="E26" s="56">
        <v>149000000</v>
      </c>
      <c r="F26" s="56">
        <v>4030950.611</v>
      </c>
      <c r="G26" s="56">
        <v>0</v>
      </c>
      <c r="H26" s="56">
        <v>172840000</v>
      </c>
      <c r="I26" s="56">
        <v>0</v>
      </c>
      <c r="J26" s="56">
        <v>122997324.56</v>
      </c>
      <c r="K26" s="56">
        <v>17</v>
      </c>
      <c r="M26" s="56">
        <v>1</v>
      </c>
      <c r="N26" s="56">
        <v>3</v>
      </c>
      <c r="O26" s="56">
        <v>2</v>
      </c>
      <c r="P26" s="56">
        <v>2</v>
      </c>
      <c r="Q26" s="56">
        <v>122997324.56</v>
      </c>
      <c r="R26" s="56">
        <v>333760000</v>
      </c>
      <c r="S26" s="56">
        <v>34</v>
      </c>
      <c r="T26" s="56">
        <v>122997324.56</v>
      </c>
      <c r="U26" s="56">
        <v>0</v>
      </c>
      <c r="V26" s="56">
        <v>0</v>
      </c>
      <c r="W26" s="56">
        <v>6149866.23</v>
      </c>
      <c r="X26" s="56">
        <v>172840000</v>
      </c>
      <c r="Y26" s="55" t="s">
        <v>272</v>
      </c>
    </row>
    <row r="27" spans="1:25">
      <c r="A27" s="55" t="s">
        <v>571</v>
      </c>
      <c r="B27" s="56">
        <v>4</v>
      </c>
      <c r="C27" s="56">
        <v>0</v>
      </c>
      <c r="D27" s="56">
        <v>0</v>
      </c>
      <c r="F27" s="56">
        <v>24352532.71</v>
      </c>
      <c r="G27" s="56">
        <v>0</v>
      </c>
      <c r="H27" s="56">
        <v>0</v>
      </c>
      <c r="I27" s="56">
        <v>0</v>
      </c>
      <c r="J27" s="56">
        <v>0</v>
      </c>
      <c r="K27" s="56">
        <v>30</v>
      </c>
      <c r="L27" s="56">
        <v>0</v>
      </c>
      <c r="N27" s="56">
        <v>0</v>
      </c>
      <c r="O27" s="56">
        <v>1</v>
      </c>
      <c r="P27" s="56">
        <v>1</v>
      </c>
      <c r="Q27" s="56">
        <v>0</v>
      </c>
      <c r="R27" s="56">
        <v>4779255507.8</v>
      </c>
      <c r="S27" s="56">
        <v>142</v>
      </c>
      <c r="T27" s="56">
        <v>1074292246.9</v>
      </c>
      <c r="U27" s="56">
        <v>0</v>
      </c>
      <c r="V27" s="56">
        <v>0</v>
      </c>
      <c r="W27" s="56">
        <v>39585890.41</v>
      </c>
      <c r="X27" s="56">
        <v>0</v>
      </c>
      <c r="Y27" s="55" t="s">
        <v>272</v>
      </c>
    </row>
    <row r="28" spans="1:25">
      <c r="A28" s="55" t="s">
        <v>572</v>
      </c>
      <c r="B28" s="56">
        <v>3</v>
      </c>
      <c r="C28" s="56">
        <v>0</v>
      </c>
      <c r="D28" s="56">
        <v>0</v>
      </c>
      <c r="E28" s="56">
        <v>144439110</v>
      </c>
      <c r="F28" s="56">
        <v>2642026.902</v>
      </c>
      <c r="G28" s="56">
        <v>0</v>
      </c>
      <c r="H28" s="56">
        <v>218939110</v>
      </c>
      <c r="I28" s="56">
        <v>0</v>
      </c>
      <c r="J28" s="56">
        <v>83350101.28</v>
      </c>
      <c r="K28" s="56">
        <v>101.5</v>
      </c>
      <c r="L28" s="56">
        <v>0</v>
      </c>
      <c r="N28" s="56">
        <v>0</v>
      </c>
      <c r="O28" s="56">
        <v>1</v>
      </c>
      <c r="P28" s="56">
        <v>1</v>
      </c>
      <c r="Q28" s="56">
        <v>83350101.28</v>
      </c>
      <c r="R28" s="56">
        <v>233839110</v>
      </c>
      <c r="S28" s="56">
        <v>132</v>
      </c>
      <c r="T28" s="56">
        <v>83350101.28</v>
      </c>
      <c r="U28" s="56">
        <v>0</v>
      </c>
      <c r="V28" s="56">
        <v>0</v>
      </c>
      <c r="W28" s="56">
        <v>4167505.06</v>
      </c>
      <c r="X28" s="56">
        <v>218939110</v>
      </c>
      <c r="Y28" s="55" t="s">
        <v>272</v>
      </c>
    </row>
    <row r="29" spans="1:25">
      <c r="A29" s="55" t="s">
        <v>573</v>
      </c>
      <c r="B29" s="56">
        <v>11</v>
      </c>
      <c r="C29" s="56">
        <v>0</v>
      </c>
      <c r="D29" s="56">
        <v>3</v>
      </c>
      <c r="E29" s="56">
        <v>23989000</v>
      </c>
      <c r="F29" s="56">
        <v>517706.8458</v>
      </c>
      <c r="G29" s="56">
        <v>0</v>
      </c>
      <c r="H29" s="56">
        <v>23989000</v>
      </c>
      <c r="I29" s="56">
        <v>0</v>
      </c>
      <c r="J29" s="56">
        <v>18439889.46</v>
      </c>
      <c r="K29" s="56">
        <v>10</v>
      </c>
      <c r="L29" s="56">
        <v>1463</v>
      </c>
      <c r="M29" s="56">
        <v>5</v>
      </c>
      <c r="N29" s="56">
        <v>1463</v>
      </c>
      <c r="O29" s="56">
        <v>5</v>
      </c>
      <c r="P29" s="56">
        <v>5</v>
      </c>
      <c r="Q29" s="56">
        <v>21385058.57</v>
      </c>
      <c r="R29" s="56">
        <v>42810644.23999999</v>
      </c>
      <c r="S29" s="56">
        <v>63</v>
      </c>
      <c r="T29" s="56">
        <v>21385058.57</v>
      </c>
      <c r="U29" s="56">
        <v>0</v>
      </c>
      <c r="V29" s="56">
        <v>0</v>
      </c>
      <c r="W29" s="56">
        <v>921994.47</v>
      </c>
      <c r="X29" s="56">
        <v>23989000</v>
      </c>
      <c r="Y29" s="55" t="s">
        <v>546</v>
      </c>
    </row>
    <row r="30" spans="1:25">
      <c r="A30" s="55" t="s">
        <v>574</v>
      </c>
      <c r="B30" s="56">
        <v>17</v>
      </c>
      <c r="C30" s="56">
        <v>0</v>
      </c>
      <c r="D30" s="56">
        <v>0</v>
      </c>
      <c r="E30" s="56">
        <v>339793783.3</v>
      </c>
      <c r="F30" s="56">
        <v>7030390.209</v>
      </c>
      <c r="G30" s="56">
        <v>0</v>
      </c>
      <c r="H30" s="56">
        <v>578120001.5</v>
      </c>
      <c r="I30" s="56">
        <v>0</v>
      </c>
      <c r="J30" s="56">
        <v>326755334.4</v>
      </c>
      <c r="K30" s="56">
        <v>37.2</v>
      </c>
      <c r="L30" s="56">
        <v>0</v>
      </c>
      <c r="M30" s="56">
        <v>1</v>
      </c>
      <c r="N30" s="56">
        <v>0</v>
      </c>
      <c r="O30" s="56">
        <v>1</v>
      </c>
      <c r="P30" s="56">
        <v>2</v>
      </c>
      <c r="Q30" s="56">
        <v>326755334.4</v>
      </c>
      <c r="R30" s="56">
        <v>1336464805.11</v>
      </c>
      <c r="S30" s="56">
        <v>132</v>
      </c>
      <c r="T30" s="56">
        <v>326755334.4</v>
      </c>
      <c r="U30" s="56">
        <v>1</v>
      </c>
      <c r="V30" s="56">
        <v>0</v>
      </c>
      <c r="W30" s="56">
        <v>16337766.72</v>
      </c>
      <c r="X30" s="56">
        <v>578120001.5</v>
      </c>
      <c r="Y30" s="55" t="s">
        <v>272</v>
      </c>
    </row>
    <row r="31" spans="1:25">
      <c r="A31" s="55" t="s">
        <v>575</v>
      </c>
      <c r="B31" s="56">
        <v>4</v>
      </c>
      <c r="C31" s="56">
        <v>0</v>
      </c>
      <c r="D31" s="56">
        <v>0</v>
      </c>
      <c r="F31" s="56">
        <v>347966.9489</v>
      </c>
      <c r="G31" s="56">
        <v>0</v>
      </c>
      <c r="H31" s="56">
        <v>0</v>
      </c>
      <c r="I31" s="56">
        <v>0</v>
      </c>
      <c r="J31" s="56">
        <v>0</v>
      </c>
      <c r="K31" s="56">
        <v>28</v>
      </c>
      <c r="N31" s="56">
        <v>0</v>
      </c>
      <c r="O31" s="56">
        <v>1</v>
      </c>
      <c r="P31" s="56">
        <v>2</v>
      </c>
      <c r="Q31" s="56">
        <v>0</v>
      </c>
      <c r="R31" s="56">
        <v>86470236.83999999</v>
      </c>
      <c r="S31" s="56">
        <v>125</v>
      </c>
      <c r="T31" s="56">
        <v>58850785.98</v>
      </c>
      <c r="U31" s="56">
        <v>0</v>
      </c>
      <c r="V31" s="56">
        <v>0</v>
      </c>
      <c r="W31" s="56">
        <v>347966.95</v>
      </c>
      <c r="X31" s="56">
        <v>0</v>
      </c>
      <c r="Y31" s="55" t="s">
        <v>272</v>
      </c>
    </row>
    <row r="32" spans="1:25">
      <c r="A32" s="55" t="s">
        <v>576</v>
      </c>
      <c r="B32" s="56">
        <v>13</v>
      </c>
      <c r="C32" s="56">
        <v>0</v>
      </c>
      <c r="D32" s="56">
        <v>0</v>
      </c>
      <c r="E32" s="56">
        <v>73010000</v>
      </c>
      <c r="F32" s="56">
        <v>1994217.275</v>
      </c>
      <c r="G32" s="56">
        <v>0</v>
      </c>
      <c r="H32" s="56">
        <v>163900000</v>
      </c>
      <c r="I32" s="56">
        <v>0</v>
      </c>
      <c r="J32" s="56">
        <v>10057446.82</v>
      </c>
      <c r="K32" s="56">
        <v>20</v>
      </c>
      <c r="M32" s="56">
        <v>1</v>
      </c>
      <c r="N32" s="56">
        <v>0</v>
      </c>
      <c r="O32" s="56">
        <v>1</v>
      </c>
      <c r="P32" s="56">
        <v>1</v>
      </c>
      <c r="Q32" s="56">
        <v>10057446.82</v>
      </c>
      <c r="R32" s="56">
        <v>417677515.2</v>
      </c>
      <c r="S32" s="56">
        <v>59</v>
      </c>
      <c r="T32" s="56">
        <v>10057446.82</v>
      </c>
      <c r="U32" s="56">
        <v>0</v>
      </c>
      <c r="V32" s="56">
        <v>0</v>
      </c>
      <c r="W32" s="56">
        <v>502872.34</v>
      </c>
      <c r="X32" s="56">
        <v>163900000</v>
      </c>
      <c r="Y32" s="55" t="s">
        <v>272</v>
      </c>
    </row>
    <row r="33" spans="1:25">
      <c r="A33" s="55" t="s">
        <v>577</v>
      </c>
      <c r="B33" s="56">
        <v>1</v>
      </c>
      <c r="C33" s="56">
        <v>0</v>
      </c>
      <c r="D33" s="56">
        <v>0</v>
      </c>
      <c r="F33" s="56">
        <v>3244803.03</v>
      </c>
      <c r="G33" s="56">
        <v>0</v>
      </c>
      <c r="H33" s="56">
        <v>0</v>
      </c>
      <c r="I33" s="56">
        <v>3244803.03</v>
      </c>
      <c r="J33" s="56">
        <v>0</v>
      </c>
      <c r="K33" s="56">
        <v>14</v>
      </c>
      <c r="N33" s="56">
        <v>0</v>
      </c>
      <c r="O33" s="56">
        <v>1</v>
      </c>
      <c r="P33" s="56">
        <v>1</v>
      </c>
      <c r="Q33" s="56">
        <v>0</v>
      </c>
      <c r="R33" s="56">
        <v>74500000</v>
      </c>
      <c r="S33" s="56">
        <v>14</v>
      </c>
      <c r="T33" s="56">
        <v>0</v>
      </c>
      <c r="U33" s="56">
        <v>0</v>
      </c>
      <c r="V33" s="56">
        <v>0</v>
      </c>
      <c r="W33" s="56">
        <v>3244803.03</v>
      </c>
      <c r="X33" s="56">
        <v>0</v>
      </c>
      <c r="Y33" s="55" t="s">
        <v>272</v>
      </c>
    </row>
    <row r="34" spans="1:25">
      <c r="A34" s="55" t="s">
        <v>578</v>
      </c>
      <c r="B34" s="56">
        <v>4</v>
      </c>
      <c r="C34" s="56">
        <v>0</v>
      </c>
      <c r="D34" s="56">
        <v>0</v>
      </c>
      <c r="E34" s="56">
        <v>223500000</v>
      </c>
      <c r="F34" s="56">
        <v>6046425.917</v>
      </c>
      <c r="G34" s="56">
        <v>0</v>
      </c>
      <c r="H34" s="56">
        <v>298000000</v>
      </c>
      <c r="I34" s="56">
        <v>0</v>
      </c>
      <c r="J34" s="56">
        <v>2677405.43</v>
      </c>
      <c r="K34" s="56">
        <v>29.67</v>
      </c>
      <c r="M34" s="56">
        <v>1</v>
      </c>
      <c r="N34" s="56">
        <v>0</v>
      </c>
      <c r="O34" s="56">
        <v>1</v>
      </c>
      <c r="P34" s="56">
        <v>1</v>
      </c>
      <c r="Q34" s="56">
        <v>2677405.43</v>
      </c>
      <c r="R34" s="56">
        <v>298000000</v>
      </c>
      <c r="S34" s="56">
        <v>67</v>
      </c>
      <c r="T34" s="56">
        <v>2677405.43</v>
      </c>
      <c r="U34" s="56">
        <v>0</v>
      </c>
      <c r="V34" s="56">
        <v>0</v>
      </c>
      <c r="W34" s="56">
        <v>133870.27</v>
      </c>
      <c r="X34" s="56">
        <v>298000000</v>
      </c>
      <c r="Y34" s="55" t="s">
        <v>272</v>
      </c>
    </row>
    <row r="35" spans="1:25">
      <c r="A35" s="55" t="s">
        <v>579</v>
      </c>
      <c r="B35" s="56">
        <v>41</v>
      </c>
      <c r="C35" s="56">
        <v>0</v>
      </c>
      <c r="D35" s="56">
        <v>0</v>
      </c>
      <c r="F35" s="56">
        <v>1902811.946</v>
      </c>
      <c r="G35" s="56">
        <v>15811579.14</v>
      </c>
      <c r="H35" s="56">
        <v>0</v>
      </c>
      <c r="I35" s="56">
        <v>2938126.0777293</v>
      </c>
      <c r="J35" s="56">
        <v>0</v>
      </c>
      <c r="K35" s="56">
        <v>3</v>
      </c>
      <c r="L35" s="56">
        <v>0</v>
      </c>
      <c r="M35" s="56">
        <v>1</v>
      </c>
      <c r="N35" s="56">
        <v>0</v>
      </c>
      <c r="O35" s="56">
        <v>1</v>
      </c>
      <c r="P35" s="56">
        <v>1</v>
      </c>
      <c r="Q35" s="56">
        <v>21031219.14</v>
      </c>
      <c r="R35" s="56">
        <v>27105801.37</v>
      </c>
      <c r="S35" s="56">
        <v>22</v>
      </c>
      <c r="T35" s="56">
        <v>21031219.14</v>
      </c>
      <c r="U35" s="56">
        <v>0</v>
      </c>
      <c r="V35" s="56">
        <v>0</v>
      </c>
      <c r="W35" s="56">
        <v>3135366.12</v>
      </c>
      <c r="X35" s="56">
        <v>15811579.14</v>
      </c>
      <c r="Y35" s="55" t="s">
        <v>272</v>
      </c>
    </row>
    <row r="36" spans="1:25">
      <c r="A36" s="55" t="s">
        <v>580</v>
      </c>
      <c r="B36" s="56">
        <v>2</v>
      </c>
      <c r="C36" s="56">
        <v>0</v>
      </c>
      <c r="D36" s="56">
        <v>0</v>
      </c>
      <c r="E36" s="56">
        <v>93870000</v>
      </c>
      <c r="F36" s="56">
        <v>2589406.863</v>
      </c>
      <c r="G36" s="56">
        <v>0</v>
      </c>
      <c r="H36" s="56">
        <v>93870000</v>
      </c>
      <c r="I36" s="56">
        <v>0</v>
      </c>
      <c r="J36" s="56">
        <v>0</v>
      </c>
      <c r="K36" s="56">
        <v>18</v>
      </c>
      <c r="M36" s="56">
        <v>1</v>
      </c>
      <c r="N36" s="56">
        <v>0</v>
      </c>
      <c r="O36" s="56">
        <v>2</v>
      </c>
      <c r="P36" s="56">
        <v>2</v>
      </c>
      <c r="Q36" s="56">
        <v>0</v>
      </c>
      <c r="R36" s="56">
        <v>108770000</v>
      </c>
      <c r="S36" s="56">
        <v>18</v>
      </c>
      <c r="T36" s="56">
        <v>0</v>
      </c>
      <c r="U36" s="56">
        <v>0</v>
      </c>
      <c r="V36" s="56">
        <v>0</v>
      </c>
      <c r="W36" s="56">
        <v>0</v>
      </c>
      <c r="X36" s="56">
        <v>93870000</v>
      </c>
      <c r="Y36" s="55" t="s">
        <v>272</v>
      </c>
    </row>
    <row r="37" spans="1:25">
      <c r="A37" s="55" t="s">
        <v>581</v>
      </c>
      <c r="B37" s="56">
        <v>30</v>
      </c>
      <c r="C37" s="56">
        <v>0</v>
      </c>
      <c r="D37" s="56">
        <v>0</v>
      </c>
      <c r="E37" s="56">
        <v>71520000</v>
      </c>
      <c r="F37" s="56">
        <v>1245778.826</v>
      </c>
      <c r="G37" s="56">
        <v>0</v>
      </c>
      <c r="H37" s="56">
        <v>174615633</v>
      </c>
      <c r="I37" s="56">
        <v>0</v>
      </c>
      <c r="J37" s="56">
        <v>26707809.04</v>
      </c>
      <c r="K37" s="56">
        <v>21.75</v>
      </c>
      <c r="M37" s="56">
        <v>1</v>
      </c>
      <c r="N37" s="56">
        <v>0</v>
      </c>
      <c r="O37" s="56">
        <v>1</v>
      </c>
      <c r="P37" s="56">
        <v>1</v>
      </c>
      <c r="Q37" s="56">
        <v>26707809.04</v>
      </c>
      <c r="R37" s="56">
        <v>244182539.51</v>
      </c>
      <c r="S37" s="56">
        <v>60</v>
      </c>
      <c r="T37" s="56">
        <v>26707809.04</v>
      </c>
      <c r="U37" s="56">
        <v>0</v>
      </c>
      <c r="V37" s="56">
        <v>0</v>
      </c>
      <c r="W37" s="56">
        <v>1335390.45</v>
      </c>
      <c r="X37" s="56">
        <v>174615633</v>
      </c>
      <c r="Y37" s="55" t="s">
        <v>272</v>
      </c>
    </row>
    <row r="38" spans="1:25">
      <c r="A38" s="55" t="s">
        <v>582</v>
      </c>
      <c r="B38" s="56">
        <v>2</v>
      </c>
      <c r="C38" s="56">
        <v>0</v>
      </c>
      <c r="D38" s="56">
        <v>0</v>
      </c>
      <c r="G38" s="56">
        <v>0</v>
      </c>
      <c r="H38" s="56">
        <v>0</v>
      </c>
      <c r="I38" s="56">
        <v>0</v>
      </c>
      <c r="J38" s="56">
        <v>0</v>
      </c>
      <c r="M38" s="56">
        <v>5</v>
      </c>
      <c r="Q38" s="56">
        <v>0</v>
      </c>
      <c r="R38" s="56">
        <v>119200000</v>
      </c>
      <c r="S38" s="56">
        <v>103</v>
      </c>
      <c r="T38" s="56">
        <v>0</v>
      </c>
      <c r="U38" s="56">
        <v>0</v>
      </c>
      <c r="V38" s="56">
        <v>0</v>
      </c>
      <c r="W38" s="56">
        <v>0</v>
      </c>
      <c r="X38" s="56">
        <v>0</v>
      </c>
      <c r="Y38" s="55" t="s">
        <v>272</v>
      </c>
    </row>
    <row r="39" spans="1:25">
      <c r="A39" s="55" t="s">
        <v>583</v>
      </c>
      <c r="B39" s="56">
        <v>10</v>
      </c>
      <c r="C39" s="56">
        <v>0</v>
      </c>
      <c r="D39" s="56">
        <v>0</v>
      </c>
      <c r="F39" s="56">
        <v>156986.9686</v>
      </c>
      <c r="G39" s="56">
        <v>212827.68</v>
      </c>
      <c r="H39" s="56">
        <v>0</v>
      </c>
      <c r="I39" s="56">
        <v>156986.9686</v>
      </c>
      <c r="J39" s="56">
        <v>0</v>
      </c>
      <c r="K39" s="56">
        <v>3</v>
      </c>
      <c r="M39" s="56">
        <v>1</v>
      </c>
      <c r="N39" s="56">
        <v>0</v>
      </c>
      <c r="O39" s="56">
        <v>1</v>
      </c>
      <c r="P39" s="56">
        <v>1</v>
      </c>
      <c r="Q39" s="56">
        <v>212827.68</v>
      </c>
      <c r="R39" s="56">
        <v>1096344.98</v>
      </c>
      <c r="S39" s="56">
        <v>28</v>
      </c>
      <c r="T39" s="56">
        <v>212827.68</v>
      </c>
      <c r="U39" s="56">
        <v>0</v>
      </c>
      <c r="V39" s="56">
        <v>0</v>
      </c>
      <c r="W39" s="56">
        <v>156986.97</v>
      </c>
      <c r="X39" s="56">
        <v>212827.68</v>
      </c>
      <c r="Y39" s="55" t="s">
        <v>272</v>
      </c>
    </row>
    <row r="40" spans="1:25">
      <c r="A40" s="55" t="s">
        <v>584</v>
      </c>
      <c r="B40" s="56">
        <v>11</v>
      </c>
      <c r="C40" s="56">
        <v>0</v>
      </c>
      <c r="D40" s="56">
        <v>5</v>
      </c>
      <c r="F40" s="56">
        <v>2097890.096</v>
      </c>
      <c r="G40" s="56">
        <v>0</v>
      </c>
      <c r="H40" s="56">
        <v>0</v>
      </c>
      <c r="I40" s="56">
        <v>0</v>
      </c>
      <c r="J40" s="56">
        <v>0</v>
      </c>
      <c r="K40" s="56">
        <v>53</v>
      </c>
      <c r="L40" s="56">
        <v>1584</v>
      </c>
      <c r="M40" s="56">
        <v>1</v>
      </c>
      <c r="N40" s="56">
        <v>1584</v>
      </c>
      <c r="O40" s="56">
        <v>5</v>
      </c>
      <c r="P40" s="56">
        <v>5</v>
      </c>
      <c r="Q40" s="56">
        <v>6529084.59</v>
      </c>
      <c r="R40" s="56">
        <v>60618201.93</v>
      </c>
      <c r="S40" s="56">
        <v>53</v>
      </c>
      <c r="T40" s="56">
        <v>82389365.96000001</v>
      </c>
      <c r="U40" s="56">
        <v>1</v>
      </c>
      <c r="V40" s="56">
        <v>0</v>
      </c>
      <c r="W40" s="56">
        <v>2097890.1</v>
      </c>
      <c r="X40" s="56">
        <v>0</v>
      </c>
      <c r="Y40" s="55" t="s">
        <v>546</v>
      </c>
    </row>
    <row r="41" spans="1:25">
      <c r="A41" s="55" t="s">
        <v>585</v>
      </c>
      <c r="B41" s="56">
        <v>1</v>
      </c>
      <c r="C41" s="56">
        <v>0</v>
      </c>
      <c r="D41" s="56">
        <v>0</v>
      </c>
      <c r="E41" s="56">
        <v>29800000</v>
      </c>
      <c r="F41" s="56">
        <v>292341.4423</v>
      </c>
      <c r="G41" s="56">
        <v>0</v>
      </c>
      <c r="H41" s="56">
        <v>29800000</v>
      </c>
      <c r="I41" s="56">
        <v>0</v>
      </c>
      <c r="J41" s="56">
        <v>21326449.2</v>
      </c>
      <c r="K41" s="56">
        <v>8</v>
      </c>
      <c r="N41" s="56">
        <v>0</v>
      </c>
      <c r="O41" s="56">
        <v>1</v>
      </c>
      <c r="P41" s="56">
        <v>1</v>
      </c>
      <c r="Q41" s="56">
        <v>21326449.2</v>
      </c>
      <c r="R41" s="56">
        <v>29800000</v>
      </c>
      <c r="S41" s="56">
        <v>8</v>
      </c>
      <c r="T41" s="56">
        <v>21326449.2</v>
      </c>
      <c r="U41" s="56">
        <v>0</v>
      </c>
      <c r="V41" s="56">
        <v>0</v>
      </c>
      <c r="W41" s="56">
        <v>1066322.46</v>
      </c>
      <c r="X41" s="56">
        <v>29800000</v>
      </c>
      <c r="Y41" s="55" t="s">
        <v>272</v>
      </c>
    </row>
    <row r="42" spans="1:25">
      <c r="A42" s="55" t="s">
        <v>586</v>
      </c>
      <c r="B42" s="56">
        <v>2</v>
      </c>
      <c r="C42" s="56">
        <v>0</v>
      </c>
      <c r="D42" s="56">
        <v>0</v>
      </c>
      <c r="E42" s="56">
        <v>26820000</v>
      </c>
      <c r="F42" s="56">
        <v>252107.4425</v>
      </c>
      <c r="G42" s="56">
        <v>0</v>
      </c>
      <c r="H42" s="56">
        <v>32780000</v>
      </c>
      <c r="I42" s="56">
        <v>0</v>
      </c>
      <c r="J42" s="56">
        <v>1744675.44</v>
      </c>
      <c r="K42" s="56">
        <v>31</v>
      </c>
      <c r="N42" s="56">
        <v>0</v>
      </c>
      <c r="O42" s="56">
        <v>1</v>
      </c>
      <c r="P42" s="56">
        <v>1</v>
      </c>
      <c r="Q42" s="56">
        <v>1744675.44</v>
      </c>
      <c r="R42" s="56">
        <v>32780000</v>
      </c>
      <c r="S42" s="56">
        <v>60</v>
      </c>
      <c r="T42" s="56">
        <v>1744675.44</v>
      </c>
      <c r="U42" s="56">
        <v>0</v>
      </c>
      <c r="V42" s="56">
        <v>0</v>
      </c>
      <c r="W42" s="56">
        <v>87233.77</v>
      </c>
      <c r="X42" s="56">
        <v>32780000</v>
      </c>
      <c r="Y42" s="55" t="s">
        <v>272</v>
      </c>
    </row>
    <row r="43" spans="1:25">
      <c r="A43" s="55" t="s">
        <v>587</v>
      </c>
      <c r="B43" s="56">
        <v>37</v>
      </c>
      <c r="C43" s="56">
        <v>0</v>
      </c>
      <c r="D43" s="56">
        <v>2</v>
      </c>
      <c r="F43" s="56">
        <v>1027269.471</v>
      </c>
      <c r="G43" s="56">
        <v>4629761.42</v>
      </c>
      <c r="H43" s="56">
        <v>0</v>
      </c>
      <c r="I43" s="56">
        <v>0</v>
      </c>
      <c r="J43" s="56">
        <v>0</v>
      </c>
      <c r="K43" s="56">
        <v>5</v>
      </c>
      <c r="L43" s="56">
        <v>277</v>
      </c>
      <c r="M43" s="56">
        <v>4</v>
      </c>
      <c r="N43" s="56">
        <v>277</v>
      </c>
      <c r="O43" s="56">
        <v>5</v>
      </c>
      <c r="P43" s="56">
        <v>5</v>
      </c>
      <c r="Q43" s="56">
        <v>4846212.92</v>
      </c>
      <c r="R43" s="56">
        <v>32126488.98</v>
      </c>
      <c r="S43" s="56">
        <v>29</v>
      </c>
      <c r="T43" s="56">
        <v>22039846.64</v>
      </c>
      <c r="U43" s="56">
        <v>0</v>
      </c>
      <c r="V43" s="56">
        <v>0</v>
      </c>
      <c r="W43" s="56">
        <v>1027269.47</v>
      </c>
      <c r="X43" s="56">
        <v>4629761.42</v>
      </c>
      <c r="Y43" s="55" t="s">
        <v>546</v>
      </c>
    </row>
    <row r="44" spans="1:25">
      <c r="A44" s="55" t="s">
        <v>588</v>
      </c>
      <c r="B44" s="56">
        <v>1</v>
      </c>
      <c r="C44" s="56">
        <v>0</v>
      </c>
      <c r="D44" s="56">
        <v>0</v>
      </c>
      <c r="E44" s="56">
        <v>43210000</v>
      </c>
      <c r="F44" s="56">
        <v>1109119.907</v>
      </c>
      <c r="G44" s="56">
        <v>0</v>
      </c>
      <c r="H44" s="56">
        <v>43210000</v>
      </c>
      <c r="I44" s="56">
        <v>0</v>
      </c>
      <c r="J44" s="56">
        <v>16169356.92</v>
      </c>
      <c r="K44" s="56">
        <v>3</v>
      </c>
      <c r="N44" s="56">
        <v>0</v>
      </c>
      <c r="O44" s="56">
        <v>1</v>
      </c>
      <c r="P44" s="56">
        <v>1</v>
      </c>
      <c r="Q44" s="56">
        <v>16169356.92</v>
      </c>
      <c r="R44" s="56">
        <v>43210000</v>
      </c>
      <c r="S44" s="56">
        <v>3</v>
      </c>
      <c r="T44" s="56">
        <v>16169356.92</v>
      </c>
      <c r="U44" s="56">
        <v>0</v>
      </c>
      <c r="V44" s="56">
        <v>0</v>
      </c>
      <c r="W44" s="56">
        <v>808467.85</v>
      </c>
      <c r="X44" s="56">
        <v>43210000</v>
      </c>
      <c r="Y44" s="55" t="s">
        <v>272</v>
      </c>
    </row>
    <row r="45" spans="1:25">
      <c r="A45" s="55" t="s">
        <v>589</v>
      </c>
      <c r="B45" s="56">
        <v>16</v>
      </c>
      <c r="C45" s="56">
        <v>0</v>
      </c>
      <c r="D45" s="56">
        <v>0</v>
      </c>
      <c r="E45" s="56">
        <v>119200000</v>
      </c>
      <c r="F45" s="56">
        <v>16467540.73</v>
      </c>
      <c r="G45" s="56">
        <v>0</v>
      </c>
      <c r="H45" s="56">
        <v>312900000</v>
      </c>
      <c r="I45" s="56">
        <v>161514.3256</v>
      </c>
      <c r="J45" s="56">
        <v>2015797.25</v>
      </c>
      <c r="K45" s="56">
        <v>52.67</v>
      </c>
      <c r="M45" s="56">
        <v>1</v>
      </c>
      <c r="N45" s="56">
        <v>0</v>
      </c>
      <c r="O45" s="56">
        <v>1</v>
      </c>
      <c r="P45" s="56">
        <v>1</v>
      </c>
      <c r="Q45" s="56">
        <v>2015797.25</v>
      </c>
      <c r="R45" s="56">
        <v>3382493313.6</v>
      </c>
      <c r="S45" s="56">
        <v>144</v>
      </c>
      <c r="T45" s="56">
        <v>837991106.65</v>
      </c>
      <c r="U45" s="56">
        <v>0</v>
      </c>
      <c r="V45" s="56">
        <v>0</v>
      </c>
      <c r="W45" s="56">
        <v>16729844.92</v>
      </c>
      <c r="X45" s="56">
        <v>312900000</v>
      </c>
      <c r="Y45" s="55" t="s">
        <v>272</v>
      </c>
    </row>
    <row r="46" spans="1:25">
      <c r="A46" s="55" t="s">
        <v>590</v>
      </c>
      <c r="B46" s="56">
        <v>5</v>
      </c>
      <c r="C46" s="56">
        <v>0</v>
      </c>
      <c r="D46" s="56">
        <v>0</v>
      </c>
      <c r="F46" s="56">
        <v>10730511.56</v>
      </c>
      <c r="G46" s="56">
        <v>888338421</v>
      </c>
      <c r="H46" s="56">
        <v>0</v>
      </c>
      <c r="I46" s="56">
        <v>10730511.56</v>
      </c>
      <c r="J46" s="56">
        <v>0</v>
      </c>
      <c r="K46" s="56">
        <v>31</v>
      </c>
      <c r="N46" s="56">
        <v>0</v>
      </c>
      <c r="O46" s="56">
        <v>1</v>
      </c>
      <c r="P46" s="56">
        <v>1</v>
      </c>
      <c r="Q46" s="56">
        <v>888338421</v>
      </c>
      <c r="R46" s="56">
        <v>1912006164.9</v>
      </c>
      <c r="S46" s="56">
        <v>114</v>
      </c>
      <c r="T46" s="56">
        <v>888338421</v>
      </c>
      <c r="U46" s="56">
        <v>0</v>
      </c>
      <c r="V46" s="56">
        <v>0</v>
      </c>
      <c r="W46" s="56">
        <v>10730511.56</v>
      </c>
      <c r="X46" s="56">
        <v>888338421</v>
      </c>
      <c r="Y46" s="55" t="s">
        <v>272</v>
      </c>
    </row>
    <row r="47" spans="1:25">
      <c r="A47" s="55" t="s">
        <v>591</v>
      </c>
      <c r="B47" s="56">
        <v>5</v>
      </c>
      <c r="C47" s="56">
        <v>0</v>
      </c>
      <c r="D47" s="56">
        <v>0</v>
      </c>
      <c r="F47" s="56">
        <v>813602.9371</v>
      </c>
      <c r="G47" s="56">
        <v>0</v>
      </c>
      <c r="H47" s="56">
        <v>0</v>
      </c>
      <c r="I47" s="56">
        <v>0</v>
      </c>
      <c r="J47" s="56">
        <v>0</v>
      </c>
      <c r="K47" s="56">
        <v>136</v>
      </c>
      <c r="M47" s="56">
        <v>1</v>
      </c>
      <c r="N47" s="56">
        <v>0</v>
      </c>
      <c r="O47" s="56">
        <v>1</v>
      </c>
      <c r="P47" s="56">
        <v>1</v>
      </c>
      <c r="Q47" s="56">
        <v>0</v>
      </c>
      <c r="R47" s="56">
        <v>207110000</v>
      </c>
      <c r="S47" s="56">
        <v>136</v>
      </c>
      <c r="T47" s="56">
        <v>27939879.12</v>
      </c>
      <c r="U47" s="56">
        <v>0</v>
      </c>
      <c r="V47" s="56">
        <v>0</v>
      </c>
      <c r="W47" s="56">
        <v>813602.9399999999</v>
      </c>
      <c r="X47" s="56">
        <v>0</v>
      </c>
      <c r="Y47" s="55" t="s">
        <v>272</v>
      </c>
    </row>
    <row r="48" spans="1:25">
      <c r="A48" s="55" t="s">
        <v>592</v>
      </c>
      <c r="B48" s="56">
        <v>18</v>
      </c>
      <c r="C48" s="56">
        <v>0</v>
      </c>
      <c r="D48" s="56">
        <v>0</v>
      </c>
      <c r="E48" s="56">
        <v>149000000</v>
      </c>
      <c r="F48" s="56">
        <v>16932238.89</v>
      </c>
      <c r="G48" s="56">
        <v>0</v>
      </c>
      <c r="H48" s="56">
        <v>691360000</v>
      </c>
      <c r="I48" s="56">
        <v>0</v>
      </c>
      <c r="J48" s="56">
        <v>27196364.76</v>
      </c>
      <c r="K48" s="56">
        <v>99.13</v>
      </c>
      <c r="L48" s="56">
        <v>0</v>
      </c>
      <c r="M48" s="56">
        <v>1</v>
      </c>
      <c r="N48" s="56">
        <v>0</v>
      </c>
      <c r="O48" s="56">
        <v>1</v>
      </c>
      <c r="P48" s="56">
        <v>1</v>
      </c>
      <c r="Q48" s="56">
        <v>27196364.76</v>
      </c>
      <c r="R48" s="56">
        <v>1144795380.03</v>
      </c>
      <c r="S48" s="56">
        <v>191</v>
      </c>
      <c r="T48" s="56">
        <v>105030084.75</v>
      </c>
      <c r="U48" s="56">
        <v>0</v>
      </c>
      <c r="V48" s="56">
        <v>0</v>
      </c>
      <c r="W48" s="56">
        <v>18292057.13</v>
      </c>
      <c r="X48" s="56">
        <v>691360000</v>
      </c>
      <c r="Y48" s="55" t="s">
        <v>272</v>
      </c>
    </row>
    <row r="49" spans="1:25">
      <c r="A49" s="55" t="s">
        <v>593</v>
      </c>
      <c r="B49" s="56">
        <v>47</v>
      </c>
      <c r="C49" s="56">
        <v>0</v>
      </c>
      <c r="D49" s="56">
        <v>1</v>
      </c>
      <c r="F49" s="56">
        <v>300345.4906</v>
      </c>
      <c r="G49" s="56">
        <v>530280.21</v>
      </c>
      <c r="H49" s="56">
        <v>0</v>
      </c>
      <c r="I49" s="56">
        <v>490697.0103</v>
      </c>
      <c r="J49" s="56">
        <v>0</v>
      </c>
      <c r="K49" s="56">
        <v>14.5</v>
      </c>
      <c r="L49" s="56">
        <v>152</v>
      </c>
      <c r="M49" s="56">
        <v>2</v>
      </c>
      <c r="N49" s="56">
        <v>152</v>
      </c>
      <c r="O49" s="56">
        <v>5</v>
      </c>
      <c r="P49" s="56">
        <v>5</v>
      </c>
      <c r="Q49" s="56">
        <v>647385.21</v>
      </c>
      <c r="R49" s="56">
        <v>31109303.23</v>
      </c>
      <c r="S49" s="56">
        <v>22</v>
      </c>
      <c r="T49" s="56">
        <v>647385.21</v>
      </c>
      <c r="U49" s="56">
        <v>1</v>
      </c>
      <c r="V49" s="56">
        <v>0</v>
      </c>
      <c r="W49" s="56">
        <v>490697.01</v>
      </c>
      <c r="X49" s="56">
        <v>530280.21</v>
      </c>
      <c r="Y49" s="55" t="s">
        <v>546</v>
      </c>
    </row>
    <row r="50" spans="1:25">
      <c r="A50" s="55" t="s">
        <v>594</v>
      </c>
      <c r="B50" s="56">
        <v>107</v>
      </c>
      <c r="C50" s="56">
        <v>0</v>
      </c>
      <c r="D50" s="56">
        <v>0</v>
      </c>
      <c r="E50" s="56">
        <v>119200000</v>
      </c>
      <c r="F50" s="56">
        <v>9202612.5</v>
      </c>
      <c r="G50" s="56">
        <v>44842121.67</v>
      </c>
      <c r="H50" s="56">
        <v>215609067.28</v>
      </c>
      <c r="I50" s="56">
        <v>32926927.677</v>
      </c>
      <c r="J50" s="56">
        <v>144543509.4</v>
      </c>
      <c r="K50" s="56">
        <v>7.52</v>
      </c>
      <c r="L50" s="56">
        <v>0</v>
      </c>
      <c r="M50" s="56">
        <v>2</v>
      </c>
      <c r="N50" s="56">
        <v>1</v>
      </c>
      <c r="O50" s="56">
        <v>2</v>
      </c>
      <c r="P50" s="56">
        <v>2</v>
      </c>
      <c r="Q50" s="56">
        <v>206547342.81</v>
      </c>
      <c r="R50" s="56">
        <v>313347731.59</v>
      </c>
      <c r="S50" s="56">
        <v>45</v>
      </c>
      <c r="T50" s="56">
        <v>212821219.7</v>
      </c>
      <c r="U50" s="56">
        <v>0</v>
      </c>
      <c r="V50" s="56">
        <v>0</v>
      </c>
      <c r="W50" s="56">
        <v>42207162.36</v>
      </c>
      <c r="X50" s="56">
        <v>260451188.95</v>
      </c>
      <c r="Y50" s="55" t="s">
        <v>272</v>
      </c>
    </row>
    <row r="51" spans="1:25">
      <c r="A51" s="55" t="s">
        <v>595</v>
      </c>
      <c r="B51" s="56">
        <v>3</v>
      </c>
      <c r="C51" s="56">
        <v>0</v>
      </c>
      <c r="D51" s="56">
        <v>0</v>
      </c>
      <c r="E51" s="56">
        <v>44700000</v>
      </c>
      <c r="F51" s="56">
        <v>815764.4327</v>
      </c>
      <c r="G51" s="56">
        <v>0</v>
      </c>
      <c r="H51" s="56">
        <v>44700000</v>
      </c>
      <c r="I51" s="56">
        <v>0</v>
      </c>
      <c r="J51" s="56">
        <v>2905053</v>
      </c>
      <c r="K51" s="56">
        <v>131</v>
      </c>
      <c r="M51" s="56">
        <v>1</v>
      </c>
      <c r="N51" s="56">
        <v>0</v>
      </c>
      <c r="O51" s="56">
        <v>1</v>
      </c>
      <c r="P51" s="56">
        <v>1</v>
      </c>
      <c r="Q51" s="56">
        <v>2905053</v>
      </c>
      <c r="R51" s="56">
        <v>134100000</v>
      </c>
      <c r="S51" s="56">
        <v>131</v>
      </c>
      <c r="T51" s="56">
        <v>2905053</v>
      </c>
      <c r="U51" s="56">
        <v>0</v>
      </c>
      <c r="V51" s="56">
        <v>0</v>
      </c>
      <c r="W51" s="56">
        <v>145252.65</v>
      </c>
      <c r="X51" s="56">
        <v>44700000</v>
      </c>
      <c r="Y51" s="55" t="s">
        <v>272</v>
      </c>
    </row>
    <row r="52" spans="1:25">
      <c r="A52" s="55" t="s">
        <v>596</v>
      </c>
      <c r="B52" s="56">
        <v>8</v>
      </c>
      <c r="C52" s="56">
        <v>0</v>
      </c>
      <c r="D52" s="56">
        <v>0</v>
      </c>
      <c r="E52" s="56">
        <v>44700000</v>
      </c>
      <c r="F52" s="56">
        <v>138246599.3</v>
      </c>
      <c r="G52" s="56">
        <v>0</v>
      </c>
      <c r="H52" s="56">
        <v>44700000</v>
      </c>
      <c r="I52" s="56">
        <v>0</v>
      </c>
      <c r="J52" s="56">
        <v>3570182.73</v>
      </c>
      <c r="K52" s="56">
        <v>17.5</v>
      </c>
      <c r="L52" s="56">
        <v>0</v>
      </c>
      <c r="M52" s="56">
        <v>1</v>
      </c>
      <c r="N52" s="56">
        <v>0</v>
      </c>
      <c r="O52" s="56">
        <v>1</v>
      </c>
      <c r="P52" s="56">
        <v>1</v>
      </c>
      <c r="Q52" s="56">
        <v>3570182.73</v>
      </c>
      <c r="R52" s="56">
        <v>1413291877.74</v>
      </c>
      <c r="S52" s="56">
        <v>91</v>
      </c>
      <c r="T52" s="56">
        <v>1060841898.97</v>
      </c>
      <c r="U52" s="56">
        <v>0</v>
      </c>
      <c r="V52" s="56">
        <v>0</v>
      </c>
      <c r="W52" s="56">
        <v>140553050.18</v>
      </c>
      <c r="X52" s="56">
        <v>44700000</v>
      </c>
      <c r="Y52" s="55" t="s">
        <v>272</v>
      </c>
    </row>
    <row r="53" spans="1:25">
      <c r="A53" s="55" t="s">
        <v>597</v>
      </c>
      <c r="B53" s="56">
        <v>37</v>
      </c>
      <c r="C53" s="56">
        <v>0</v>
      </c>
      <c r="D53" s="56">
        <v>0</v>
      </c>
      <c r="E53" s="56">
        <v>7450000</v>
      </c>
      <c r="F53" s="56">
        <v>467638.8369</v>
      </c>
      <c r="G53" s="56">
        <v>0</v>
      </c>
      <c r="H53" s="56">
        <v>7450000</v>
      </c>
      <c r="I53" s="56">
        <v>467638.8369</v>
      </c>
      <c r="J53" s="56">
        <v>0</v>
      </c>
      <c r="K53" s="56">
        <v>25</v>
      </c>
      <c r="N53" s="56">
        <v>0</v>
      </c>
      <c r="O53" s="56">
        <v>1</v>
      </c>
      <c r="P53" s="56">
        <v>1</v>
      </c>
      <c r="Q53" s="56">
        <v>0</v>
      </c>
      <c r="R53" s="56">
        <v>30712887.24</v>
      </c>
      <c r="S53" s="56">
        <v>59</v>
      </c>
      <c r="T53" s="56">
        <v>0</v>
      </c>
      <c r="U53" s="56">
        <v>0</v>
      </c>
      <c r="V53" s="56">
        <v>0</v>
      </c>
      <c r="W53" s="56">
        <v>467638.84</v>
      </c>
      <c r="X53" s="56">
        <v>7450000</v>
      </c>
      <c r="Y53" s="55" t="s">
        <v>272</v>
      </c>
    </row>
    <row r="54" spans="1:25">
      <c r="A54" s="55" t="s">
        <v>598</v>
      </c>
      <c r="B54" s="56">
        <v>1</v>
      </c>
      <c r="C54" s="56">
        <v>0</v>
      </c>
      <c r="D54" s="56">
        <v>0</v>
      </c>
      <c r="G54" s="56">
        <v>0</v>
      </c>
      <c r="H54" s="56">
        <v>0</v>
      </c>
      <c r="I54" s="56">
        <v>0</v>
      </c>
      <c r="J54" s="56">
        <v>0</v>
      </c>
      <c r="Q54" s="56">
        <v>0</v>
      </c>
      <c r="R54" s="56">
        <v>439550000</v>
      </c>
      <c r="S54" s="56">
        <v>74</v>
      </c>
      <c r="T54" s="56">
        <v>0</v>
      </c>
      <c r="U54" s="56">
        <v>0</v>
      </c>
      <c r="V54" s="56">
        <v>0</v>
      </c>
      <c r="W54" s="56">
        <v>0</v>
      </c>
      <c r="X54" s="56">
        <v>0</v>
      </c>
      <c r="Y54" s="55" t="s">
        <v>272</v>
      </c>
    </row>
    <row r="55" spans="1:25">
      <c r="A55" s="55" t="s">
        <v>599</v>
      </c>
      <c r="B55" s="56">
        <v>8</v>
      </c>
      <c r="C55" s="56">
        <v>0</v>
      </c>
      <c r="D55" s="56">
        <v>0</v>
      </c>
      <c r="E55" s="56">
        <v>447000000</v>
      </c>
      <c r="F55" s="56">
        <v>12092851.83</v>
      </c>
      <c r="G55" s="56">
        <v>0</v>
      </c>
      <c r="H55" s="56">
        <v>461900000</v>
      </c>
      <c r="I55" s="56">
        <v>0</v>
      </c>
      <c r="J55" s="56">
        <v>518793.48</v>
      </c>
      <c r="K55" s="56">
        <v>42.5</v>
      </c>
      <c r="M55" s="56">
        <v>1</v>
      </c>
      <c r="N55" s="56">
        <v>0</v>
      </c>
      <c r="O55" s="56">
        <v>1</v>
      </c>
      <c r="P55" s="56">
        <v>2</v>
      </c>
      <c r="Q55" s="56">
        <v>518793.48</v>
      </c>
      <c r="R55" s="56">
        <v>1055069000</v>
      </c>
      <c r="S55" s="56">
        <v>122</v>
      </c>
      <c r="T55" s="56">
        <v>518793.48</v>
      </c>
      <c r="U55" s="56">
        <v>0</v>
      </c>
      <c r="V55" s="56">
        <v>0</v>
      </c>
      <c r="W55" s="56">
        <v>25939.67</v>
      </c>
      <c r="X55" s="56">
        <v>461900000</v>
      </c>
      <c r="Y55" s="55" t="s">
        <v>272</v>
      </c>
    </row>
    <row r="56" spans="1:25">
      <c r="A56" s="55" t="s">
        <v>600</v>
      </c>
      <c r="B56" s="56">
        <v>8</v>
      </c>
      <c r="C56" s="56">
        <v>0</v>
      </c>
      <c r="D56" s="56">
        <v>0</v>
      </c>
      <c r="F56" s="56">
        <v>1814849.361</v>
      </c>
      <c r="G56" s="56">
        <v>0</v>
      </c>
      <c r="H56" s="56">
        <v>0</v>
      </c>
      <c r="I56" s="56">
        <v>0</v>
      </c>
      <c r="J56" s="56">
        <v>0</v>
      </c>
      <c r="K56" s="56">
        <v>6</v>
      </c>
      <c r="L56" s="56">
        <v>0</v>
      </c>
      <c r="M56" s="56">
        <v>4</v>
      </c>
      <c r="N56" s="56">
        <v>26</v>
      </c>
      <c r="O56" s="56">
        <v>4</v>
      </c>
      <c r="P56" s="56">
        <v>4</v>
      </c>
      <c r="Q56" s="56">
        <v>3055267.6</v>
      </c>
      <c r="R56" s="56">
        <v>110513459.43</v>
      </c>
      <c r="S56" s="56">
        <v>50</v>
      </c>
      <c r="T56" s="56">
        <v>26886362.35</v>
      </c>
      <c r="U56" s="56">
        <v>0</v>
      </c>
      <c r="V56" s="56">
        <v>0</v>
      </c>
      <c r="W56" s="56">
        <v>3465801.06</v>
      </c>
      <c r="X56" s="56">
        <v>0</v>
      </c>
      <c r="Y56" s="55" t="s">
        <v>272</v>
      </c>
    </row>
    <row r="57" spans="1:25">
      <c r="A57" s="55" t="s">
        <v>601</v>
      </c>
      <c r="B57" s="56">
        <v>4</v>
      </c>
      <c r="C57" s="56">
        <v>0</v>
      </c>
      <c r="D57" s="56">
        <v>0</v>
      </c>
      <c r="E57" s="56">
        <v>29800000</v>
      </c>
      <c r="F57" s="56">
        <v>298425.9797</v>
      </c>
      <c r="G57" s="56">
        <v>0</v>
      </c>
      <c r="H57" s="56">
        <v>29800000</v>
      </c>
      <c r="I57" s="56">
        <v>0</v>
      </c>
      <c r="J57" s="56">
        <v>8318301.52</v>
      </c>
      <c r="K57" s="56">
        <v>110</v>
      </c>
      <c r="M57" s="56">
        <v>1</v>
      </c>
      <c r="N57" s="56">
        <v>0</v>
      </c>
      <c r="O57" s="56">
        <v>1</v>
      </c>
      <c r="P57" s="56">
        <v>1</v>
      </c>
      <c r="Q57" s="56">
        <v>8318301.52</v>
      </c>
      <c r="R57" s="56">
        <v>31171545</v>
      </c>
      <c r="S57" s="56">
        <v>110</v>
      </c>
      <c r="T57" s="56">
        <v>8318301.52</v>
      </c>
      <c r="U57" s="56">
        <v>0</v>
      </c>
      <c r="V57" s="56">
        <v>0</v>
      </c>
      <c r="W57" s="56">
        <v>415915.08</v>
      </c>
      <c r="X57" s="56">
        <v>29800000</v>
      </c>
      <c r="Y57" s="55" t="s">
        <v>272</v>
      </c>
    </row>
    <row r="58" spans="1:25">
      <c r="A58" s="55" t="s">
        <v>602</v>
      </c>
      <c r="B58" s="56">
        <v>1</v>
      </c>
      <c r="C58" s="56">
        <v>0</v>
      </c>
      <c r="D58" s="56">
        <v>0</v>
      </c>
      <c r="E58" s="56">
        <v>8940000</v>
      </c>
      <c r="F58" s="56">
        <v>178738.9174</v>
      </c>
      <c r="G58" s="56">
        <v>0</v>
      </c>
      <c r="H58" s="56">
        <v>8940000</v>
      </c>
      <c r="I58" s="56">
        <v>0</v>
      </c>
      <c r="J58" s="56">
        <v>0</v>
      </c>
      <c r="K58" s="56">
        <v>122</v>
      </c>
      <c r="N58" s="56">
        <v>0</v>
      </c>
      <c r="O58" s="56">
        <v>1</v>
      </c>
      <c r="P58" s="56">
        <v>1</v>
      </c>
      <c r="Q58" s="56">
        <v>0</v>
      </c>
      <c r="R58" s="56">
        <v>8940000</v>
      </c>
      <c r="S58" s="56">
        <v>122</v>
      </c>
      <c r="T58" s="56">
        <v>0</v>
      </c>
      <c r="U58" s="56">
        <v>0</v>
      </c>
      <c r="V58" s="56">
        <v>0</v>
      </c>
      <c r="W58" s="56">
        <v>0</v>
      </c>
      <c r="X58" s="56">
        <v>8940000</v>
      </c>
      <c r="Y58" s="55" t="s">
        <v>272</v>
      </c>
    </row>
    <row r="59" spans="1:25">
      <c r="A59" s="55" t="s">
        <v>603</v>
      </c>
      <c r="B59" s="56">
        <v>1</v>
      </c>
      <c r="C59" s="56">
        <v>0</v>
      </c>
      <c r="D59" s="56">
        <v>0</v>
      </c>
      <c r="E59" s="56">
        <v>298000000</v>
      </c>
      <c r="F59" s="56">
        <v>4481231.579</v>
      </c>
      <c r="G59" s="56">
        <v>0</v>
      </c>
      <c r="H59" s="56">
        <v>298000000</v>
      </c>
      <c r="I59" s="56">
        <v>0</v>
      </c>
      <c r="J59" s="56">
        <v>147688801.1</v>
      </c>
      <c r="K59" s="56">
        <v>45</v>
      </c>
      <c r="N59" s="56">
        <v>0</v>
      </c>
      <c r="O59" s="56">
        <v>1</v>
      </c>
      <c r="P59" s="56">
        <v>1</v>
      </c>
      <c r="Q59" s="56">
        <v>147688801.1</v>
      </c>
      <c r="R59" s="56">
        <v>298000000</v>
      </c>
      <c r="S59" s="56">
        <v>45</v>
      </c>
      <c r="T59" s="56">
        <v>147688801.1</v>
      </c>
      <c r="U59" s="56">
        <v>0</v>
      </c>
      <c r="V59" s="56">
        <v>0</v>
      </c>
      <c r="W59" s="56">
        <v>7384440.06</v>
      </c>
      <c r="X59" s="56">
        <v>298000000</v>
      </c>
      <c r="Y59" s="55" t="s">
        <v>272</v>
      </c>
    </row>
    <row r="60" spans="1:25">
      <c r="A60" s="55" t="s">
        <v>604</v>
      </c>
      <c r="B60" s="56">
        <v>5</v>
      </c>
      <c r="C60" s="56">
        <v>0</v>
      </c>
      <c r="D60" s="56">
        <v>0</v>
      </c>
      <c r="E60" s="56">
        <v>13410000</v>
      </c>
      <c r="F60" s="56">
        <v>505222.653</v>
      </c>
      <c r="G60" s="56">
        <v>0</v>
      </c>
      <c r="H60" s="56">
        <v>19370000</v>
      </c>
      <c r="I60" s="56">
        <v>0</v>
      </c>
      <c r="J60" s="56">
        <v>2712147.86</v>
      </c>
      <c r="K60" s="56">
        <v>9</v>
      </c>
      <c r="M60" s="56">
        <v>1</v>
      </c>
      <c r="N60" s="56">
        <v>0</v>
      </c>
      <c r="O60" s="56">
        <v>1</v>
      </c>
      <c r="P60" s="56">
        <v>1</v>
      </c>
      <c r="Q60" s="56">
        <v>2712147.86</v>
      </c>
      <c r="R60" s="56">
        <v>19370000</v>
      </c>
      <c r="S60" s="56">
        <v>20</v>
      </c>
      <c r="T60" s="56">
        <v>2712147.86</v>
      </c>
      <c r="U60" s="56">
        <v>0</v>
      </c>
      <c r="V60" s="56">
        <v>0</v>
      </c>
      <c r="W60" s="56">
        <v>135607.39</v>
      </c>
      <c r="X60" s="56">
        <v>19370000</v>
      </c>
      <c r="Y60" s="55" t="s">
        <v>272</v>
      </c>
    </row>
    <row r="61" spans="1:25">
      <c r="A61" s="55" t="s">
        <v>605</v>
      </c>
      <c r="B61" s="56">
        <v>5</v>
      </c>
      <c r="C61" s="56">
        <v>0</v>
      </c>
      <c r="D61" s="56">
        <v>0</v>
      </c>
      <c r="E61" s="56">
        <v>7450000</v>
      </c>
      <c r="F61" s="56">
        <v>3244803.03</v>
      </c>
      <c r="G61" s="56">
        <v>0</v>
      </c>
      <c r="H61" s="56">
        <v>7450000</v>
      </c>
      <c r="I61" s="56">
        <v>3244803.03</v>
      </c>
      <c r="J61" s="56">
        <v>1698853.89</v>
      </c>
      <c r="K61" s="56">
        <v>9.5</v>
      </c>
      <c r="L61" s="56">
        <v>0</v>
      </c>
      <c r="M61" s="56">
        <v>1</v>
      </c>
      <c r="N61" s="56">
        <v>0</v>
      </c>
      <c r="O61" s="56">
        <v>1</v>
      </c>
      <c r="P61" s="56">
        <v>1</v>
      </c>
      <c r="Q61" s="56">
        <v>1698853.89</v>
      </c>
      <c r="R61" s="56">
        <v>81950000</v>
      </c>
      <c r="S61" s="56">
        <v>16</v>
      </c>
      <c r="T61" s="56">
        <v>1698853.89</v>
      </c>
      <c r="U61" s="56">
        <v>0</v>
      </c>
      <c r="V61" s="56">
        <v>0</v>
      </c>
      <c r="W61" s="56">
        <v>3329745.72</v>
      </c>
      <c r="X61" s="56">
        <v>7450000</v>
      </c>
      <c r="Y61" s="55" t="s">
        <v>272</v>
      </c>
    </row>
    <row r="62" spans="1:25">
      <c r="A62" s="55" t="s">
        <v>606</v>
      </c>
      <c r="B62" s="56">
        <v>1</v>
      </c>
      <c r="C62" s="56">
        <v>0</v>
      </c>
      <c r="D62" s="56">
        <v>0</v>
      </c>
      <c r="E62" s="56">
        <v>29800000</v>
      </c>
      <c r="F62" s="56">
        <v>643268.3826</v>
      </c>
      <c r="G62" s="56">
        <v>0</v>
      </c>
      <c r="H62" s="56">
        <v>29800000</v>
      </c>
      <c r="I62" s="56">
        <v>0</v>
      </c>
      <c r="J62" s="56">
        <v>0</v>
      </c>
      <c r="K62" s="56">
        <v>62</v>
      </c>
      <c r="N62" s="56">
        <v>0</v>
      </c>
      <c r="O62" s="56">
        <v>1</v>
      </c>
      <c r="P62" s="56">
        <v>1</v>
      </c>
      <c r="Q62" s="56">
        <v>0</v>
      </c>
      <c r="R62" s="56">
        <v>29800000</v>
      </c>
      <c r="S62" s="56">
        <v>62</v>
      </c>
      <c r="T62" s="56">
        <v>0</v>
      </c>
      <c r="U62" s="56">
        <v>0</v>
      </c>
      <c r="V62" s="56">
        <v>0</v>
      </c>
      <c r="W62" s="56">
        <v>0</v>
      </c>
      <c r="X62" s="56">
        <v>29800000</v>
      </c>
      <c r="Y62" s="55" t="s">
        <v>272</v>
      </c>
    </row>
    <row r="63" spans="1:25">
      <c r="A63" s="55" t="s">
        <v>607</v>
      </c>
      <c r="B63" s="56">
        <v>145</v>
      </c>
      <c r="C63" s="56">
        <v>0</v>
      </c>
      <c r="D63" s="56">
        <v>0</v>
      </c>
      <c r="F63" s="56">
        <v>99085000</v>
      </c>
      <c r="G63" s="56">
        <v>60963145.35000001</v>
      </c>
      <c r="H63" s="56">
        <v>0</v>
      </c>
      <c r="I63" s="56">
        <v>28858152.25471999</v>
      </c>
      <c r="J63" s="56">
        <v>0</v>
      </c>
      <c r="K63" s="56">
        <v>5</v>
      </c>
      <c r="L63" s="56">
        <v>5</v>
      </c>
      <c r="M63" s="56">
        <v>2</v>
      </c>
      <c r="N63" s="56">
        <v>5</v>
      </c>
      <c r="O63" s="56">
        <v>2</v>
      </c>
      <c r="P63" s="56">
        <v>2</v>
      </c>
      <c r="Q63" s="56">
        <v>65095852.26000001</v>
      </c>
      <c r="R63" s="56">
        <v>2804206772.29</v>
      </c>
      <c r="S63" s="56">
        <v>31</v>
      </c>
      <c r="T63" s="56">
        <v>1528631609.46</v>
      </c>
      <c r="U63" s="56">
        <v>0</v>
      </c>
      <c r="V63" s="56">
        <v>0</v>
      </c>
      <c r="W63" s="56">
        <v>175904947.09</v>
      </c>
      <c r="X63" s="56">
        <v>60963145.35</v>
      </c>
      <c r="Y63" s="55" t="s">
        <v>272</v>
      </c>
    </row>
    <row r="64" spans="1:25">
      <c r="A64" s="55" t="s">
        <v>608</v>
      </c>
      <c r="B64" s="56">
        <v>51</v>
      </c>
      <c r="C64" s="56">
        <v>0</v>
      </c>
      <c r="D64" s="56">
        <v>0</v>
      </c>
      <c r="F64" s="56">
        <v>658879.8325</v>
      </c>
      <c r="G64" s="56">
        <v>1280726.46</v>
      </c>
      <c r="H64" s="56">
        <v>0</v>
      </c>
      <c r="I64" s="56">
        <v>658879.8325</v>
      </c>
      <c r="J64" s="56">
        <v>0</v>
      </c>
      <c r="K64" s="56">
        <v>1</v>
      </c>
      <c r="L64" s="56">
        <v>0</v>
      </c>
      <c r="M64" s="56">
        <v>1</v>
      </c>
      <c r="N64" s="56">
        <v>0</v>
      </c>
      <c r="O64" s="56">
        <v>1</v>
      </c>
      <c r="P64" s="56">
        <v>1</v>
      </c>
      <c r="Q64" s="56">
        <v>1660996.46</v>
      </c>
      <c r="R64" s="56">
        <v>2353225.54</v>
      </c>
      <c r="S64" s="56">
        <v>27</v>
      </c>
      <c r="T64" s="56">
        <v>1660996.46</v>
      </c>
      <c r="U64" s="56">
        <v>0</v>
      </c>
      <c r="V64" s="56">
        <v>0</v>
      </c>
      <c r="W64" s="56">
        <v>717398.53</v>
      </c>
      <c r="X64" s="56">
        <v>1280726.46</v>
      </c>
      <c r="Y64" s="55" t="s">
        <v>272</v>
      </c>
    </row>
    <row r="65" spans="1:25">
      <c r="A65" s="55" t="s">
        <v>609</v>
      </c>
      <c r="B65" s="56">
        <v>1</v>
      </c>
      <c r="C65" s="56">
        <v>0</v>
      </c>
      <c r="D65" s="56">
        <v>0</v>
      </c>
      <c r="G65" s="56">
        <v>0</v>
      </c>
      <c r="H65" s="56">
        <v>0</v>
      </c>
      <c r="I65" s="56">
        <v>0</v>
      </c>
      <c r="J65" s="56">
        <v>0</v>
      </c>
      <c r="Q65" s="56">
        <v>0</v>
      </c>
      <c r="R65" s="56">
        <v>4470000</v>
      </c>
      <c r="S65" s="56">
        <v>124</v>
      </c>
      <c r="T65" s="56">
        <v>0</v>
      </c>
      <c r="U65" s="56">
        <v>0</v>
      </c>
      <c r="V65" s="56">
        <v>0</v>
      </c>
      <c r="W65" s="56">
        <v>0</v>
      </c>
      <c r="X65" s="56">
        <v>0</v>
      </c>
      <c r="Y65" s="55" t="s">
        <v>272</v>
      </c>
    </row>
    <row r="66" spans="1:25">
      <c r="A66" s="55" t="s">
        <v>610</v>
      </c>
      <c r="B66" s="56">
        <v>100</v>
      </c>
      <c r="C66" s="56">
        <v>0</v>
      </c>
      <c r="D66" s="56">
        <v>0</v>
      </c>
      <c r="F66" s="56">
        <v>5217867.118</v>
      </c>
      <c r="G66" s="56">
        <v>4264174</v>
      </c>
      <c r="H66" s="56">
        <v>0</v>
      </c>
      <c r="I66" s="56">
        <v>5217867.118</v>
      </c>
      <c r="J66" s="56">
        <v>0</v>
      </c>
      <c r="K66" s="56">
        <v>2</v>
      </c>
      <c r="L66" s="56">
        <v>0</v>
      </c>
      <c r="M66" s="56">
        <v>1</v>
      </c>
      <c r="N66" s="56">
        <v>0</v>
      </c>
      <c r="O66" s="56">
        <v>1</v>
      </c>
      <c r="P66" s="56">
        <v>1</v>
      </c>
      <c r="Q66" s="56">
        <v>4264174</v>
      </c>
      <c r="R66" s="56">
        <v>5404422.21</v>
      </c>
      <c r="S66" s="56">
        <v>34</v>
      </c>
      <c r="T66" s="56">
        <v>4264174</v>
      </c>
      <c r="U66" s="56">
        <v>0</v>
      </c>
      <c r="V66" s="56">
        <v>0</v>
      </c>
      <c r="W66" s="56">
        <v>5217867.12</v>
      </c>
      <c r="X66" s="56">
        <v>4264174</v>
      </c>
      <c r="Y66" s="55" t="s">
        <v>272</v>
      </c>
    </row>
    <row r="67" spans="1:25">
      <c r="A67" s="55" t="s">
        <v>611</v>
      </c>
      <c r="B67" s="56">
        <v>2</v>
      </c>
      <c r="C67" s="56">
        <v>0</v>
      </c>
      <c r="D67" s="56">
        <v>0</v>
      </c>
      <c r="E67" s="56">
        <v>42465000</v>
      </c>
      <c r="F67" s="56">
        <v>1599871.734</v>
      </c>
      <c r="G67" s="56">
        <v>0</v>
      </c>
      <c r="H67" s="56">
        <v>51405000</v>
      </c>
      <c r="I67" s="56">
        <v>0</v>
      </c>
      <c r="J67" s="56">
        <v>3651249</v>
      </c>
      <c r="K67" s="56">
        <v>17</v>
      </c>
      <c r="N67" s="56">
        <v>0</v>
      </c>
      <c r="O67" s="56">
        <v>1</v>
      </c>
      <c r="P67" s="56">
        <v>1</v>
      </c>
      <c r="Q67" s="56">
        <v>3651249</v>
      </c>
      <c r="R67" s="56">
        <v>51405000</v>
      </c>
      <c r="S67" s="56">
        <v>20</v>
      </c>
      <c r="T67" s="56">
        <v>3651249</v>
      </c>
      <c r="U67" s="56">
        <v>0</v>
      </c>
      <c r="V67" s="56">
        <v>0</v>
      </c>
      <c r="W67" s="56">
        <v>182562.45</v>
      </c>
      <c r="X67" s="56">
        <v>51405000</v>
      </c>
      <c r="Y67" s="55" t="s">
        <v>272</v>
      </c>
    </row>
    <row r="68" spans="1:25">
      <c r="A68" s="55" t="s">
        <v>612</v>
      </c>
      <c r="B68" s="56">
        <v>1</v>
      </c>
      <c r="C68" s="56">
        <v>0</v>
      </c>
      <c r="D68" s="56">
        <v>0</v>
      </c>
      <c r="E68" s="56">
        <v>32780000</v>
      </c>
      <c r="F68" s="56">
        <v>886809.1344</v>
      </c>
      <c r="G68" s="56">
        <v>0</v>
      </c>
      <c r="H68" s="56">
        <v>32780000</v>
      </c>
      <c r="I68" s="56">
        <v>0</v>
      </c>
      <c r="J68" s="56">
        <v>8399532.4</v>
      </c>
      <c r="K68" s="56">
        <v>4</v>
      </c>
      <c r="N68" s="56">
        <v>0</v>
      </c>
      <c r="O68" s="56">
        <v>1</v>
      </c>
      <c r="P68" s="56">
        <v>1</v>
      </c>
      <c r="Q68" s="56">
        <v>8399532.4</v>
      </c>
      <c r="R68" s="56">
        <v>32780000</v>
      </c>
      <c r="S68" s="56">
        <v>4</v>
      </c>
      <c r="T68" s="56">
        <v>8399532.4</v>
      </c>
      <c r="U68" s="56">
        <v>0</v>
      </c>
      <c r="V68" s="56">
        <v>0</v>
      </c>
      <c r="W68" s="56">
        <v>419976.62</v>
      </c>
      <c r="X68" s="56">
        <v>32780000</v>
      </c>
      <c r="Y68" s="55" t="s">
        <v>272</v>
      </c>
    </row>
    <row r="69" spans="1:25">
      <c r="A69" s="55" t="s">
        <v>613</v>
      </c>
      <c r="B69" s="56">
        <v>35</v>
      </c>
      <c r="C69" s="56">
        <v>0</v>
      </c>
      <c r="D69" s="56">
        <v>0</v>
      </c>
      <c r="F69" s="56">
        <v>513890.8085</v>
      </c>
      <c r="G69" s="56">
        <v>2113041.92</v>
      </c>
      <c r="H69" s="56">
        <v>0</v>
      </c>
      <c r="I69" s="56">
        <v>746559.310386</v>
      </c>
      <c r="J69" s="56">
        <v>0</v>
      </c>
      <c r="K69" s="56">
        <v>7</v>
      </c>
      <c r="L69" s="56">
        <v>91</v>
      </c>
      <c r="M69" s="56">
        <v>4</v>
      </c>
      <c r="N69" s="56">
        <v>0</v>
      </c>
      <c r="O69" s="56">
        <v>4</v>
      </c>
      <c r="P69" s="56">
        <v>4</v>
      </c>
      <c r="Q69" s="56">
        <v>2113041.92</v>
      </c>
      <c r="R69" s="56">
        <v>12718769.63</v>
      </c>
      <c r="S69" s="56">
        <v>44</v>
      </c>
      <c r="T69" s="56">
        <v>2113041.92</v>
      </c>
      <c r="U69" s="56">
        <v>0</v>
      </c>
      <c r="V69" s="56">
        <v>0</v>
      </c>
      <c r="W69" s="56">
        <v>746559.3100000001</v>
      </c>
      <c r="X69" s="56">
        <v>2113041.92</v>
      </c>
      <c r="Y69" s="55" t="s">
        <v>272</v>
      </c>
    </row>
    <row r="70" spans="1:25">
      <c r="A70" s="55" t="s">
        <v>614</v>
      </c>
      <c r="B70" s="56">
        <v>134</v>
      </c>
      <c r="C70" s="56">
        <v>0</v>
      </c>
      <c r="D70" s="56">
        <v>1</v>
      </c>
      <c r="F70" s="56">
        <v>3337600</v>
      </c>
      <c r="G70" s="56">
        <v>3132798.75</v>
      </c>
      <c r="H70" s="56">
        <v>0</v>
      </c>
      <c r="I70" s="56">
        <v>3666483.93308</v>
      </c>
      <c r="J70" s="56">
        <v>0</v>
      </c>
      <c r="K70" s="56">
        <v>3</v>
      </c>
      <c r="L70" s="56">
        <v>894</v>
      </c>
      <c r="M70" s="56">
        <v>2</v>
      </c>
      <c r="N70" s="56">
        <v>894</v>
      </c>
      <c r="O70" s="56">
        <v>5</v>
      </c>
      <c r="P70" s="56">
        <v>5</v>
      </c>
      <c r="Q70" s="56">
        <v>3132798.75</v>
      </c>
      <c r="R70" s="56">
        <v>61607764.56999999</v>
      </c>
      <c r="S70" s="56">
        <v>66</v>
      </c>
      <c r="T70" s="56">
        <v>18347144.05</v>
      </c>
      <c r="U70" s="56">
        <v>0</v>
      </c>
      <c r="V70" s="56">
        <v>0</v>
      </c>
      <c r="W70" s="56">
        <v>3666483.93</v>
      </c>
      <c r="X70" s="56">
        <v>3132798.75</v>
      </c>
      <c r="Y70" s="55" t="s">
        <v>546</v>
      </c>
    </row>
    <row r="71" spans="1:25">
      <c r="A71" s="55" t="s">
        <v>615</v>
      </c>
      <c r="B71" s="56">
        <v>22</v>
      </c>
      <c r="C71" s="56">
        <v>0</v>
      </c>
      <c r="D71" s="56">
        <v>0</v>
      </c>
      <c r="E71" s="56">
        <v>41720000</v>
      </c>
      <c r="F71" s="56">
        <v>900575.7357</v>
      </c>
      <c r="G71" s="56">
        <v>0</v>
      </c>
      <c r="H71" s="56">
        <v>49170000</v>
      </c>
      <c r="I71" s="56">
        <v>0</v>
      </c>
      <c r="J71" s="56">
        <v>0</v>
      </c>
      <c r="K71" s="56">
        <v>58</v>
      </c>
      <c r="M71" s="56">
        <v>1</v>
      </c>
      <c r="N71" s="56">
        <v>0</v>
      </c>
      <c r="O71" s="56">
        <v>1</v>
      </c>
      <c r="P71" s="56">
        <v>1</v>
      </c>
      <c r="Q71" s="56">
        <v>0</v>
      </c>
      <c r="R71" s="56">
        <v>129256975.52</v>
      </c>
      <c r="S71" s="56">
        <v>96</v>
      </c>
      <c r="T71" s="56">
        <v>0</v>
      </c>
      <c r="U71" s="56">
        <v>0</v>
      </c>
      <c r="V71" s="56">
        <v>0</v>
      </c>
      <c r="W71" s="56">
        <v>0</v>
      </c>
      <c r="X71" s="56">
        <v>49170000</v>
      </c>
      <c r="Y71" s="55" t="s">
        <v>272</v>
      </c>
    </row>
    <row r="72" spans="1:25">
      <c r="A72" s="55" t="s">
        <v>616</v>
      </c>
      <c r="B72" s="56">
        <v>3</v>
      </c>
      <c r="C72" s="56">
        <v>0</v>
      </c>
      <c r="D72" s="56">
        <v>0</v>
      </c>
      <c r="E72" s="56">
        <v>74500000</v>
      </c>
      <c r="F72" s="56">
        <v>2306944.275</v>
      </c>
      <c r="G72" s="56">
        <v>0</v>
      </c>
      <c r="H72" s="56">
        <v>149000000</v>
      </c>
      <c r="I72" s="56">
        <v>0</v>
      </c>
      <c r="J72" s="56">
        <v>422568</v>
      </c>
      <c r="K72" s="56">
        <v>15.5</v>
      </c>
      <c r="M72" s="56">
        <v>1</v>
      </c>
      <c r="N72" s="56">
        <v>0</v>
      </c>
      <c r="O72" s="56">
        <v>1</v>
      </c>
      <c r="P72" s="56">
        <v>1</v>
      </c>
      <c r="Q72" s="56">
        <v>422568</v>
      </c>
      <c r="R72" s="56">
        <v>149000000</v>
      </c>
      <c r="S72" s="56">
        <v>28</v>
      </c>
      <c r="T72" s="56">
        <v>422568</v>
      </c>
      <c r="U72" s="56">
        <v>0</v>
      </c>
      <c r="V72" s="56">
        <v>0</v>
      </c>
      <c r="W72" s="56">
        <v>21128.4</v>
      </c>
      <c r="X72" s="56">
        <v>149000000</v>
      </c>
      <c r="Y72" s="55" t="s">
        <v>272</v>
      </c>
    </row>
    <row r="73" spans="1:25">
      <c r="A73" s="55" t="s">
        <v>617</v>
      </c>
      <c r="B73" s="56">
        <v>81</v>
      </c>
      <c r="C73" s="56">
        <v>0</v>
      </c>
      <c r="D73" s="56">
        <v>0</v>
      </c>
      <c r="F73" s="56">
        <v>548440.1302</v>
      </c>
      <c r="G73" s="56">
        <v>2234450.03</v>
      </c>
      <c r="H73" s="56">
        <v>0</v>
      </c>
      <c r="I73" s="56">
        <v>1000567.4381</v>
      </c>
      <c r="J73" s="56">
        <v>0</v>
      </c>
      <c r="K73" s="56">
        <v>2.33</v>
      </c>
      <c r="L73" s="56">
        <v>0</v>
      </c>
      <c r="M73" s="56">
        <v>1</v>
      </c>
      <c r="N73" s="56">
        <v>0</v>
      </c>
      <c r="O73" s="56">
        <v>1</v>
      </c>
      <c r="P73" s="56">
        <v>1</v>
      </c>
      <c r="Q73" s="56">
        <v>3217801.03</v>
      </c>
      <c r="R73" s="56">
        <v>25477730.52</v>
      </c>
      <c r="S73" s="56">
        <v>37</v>
      </c>
      <c r="T73" s="56">
        <v>3217801.03</v>
      </c>
      <c r="U73" s="56">
        <v>0</v>
      </c>
      <c r="V73" s="56">
        <v>0</v>
      </c>
      <c r="W73" s="56">
        <v>1549007.57</v>
      </c>
      <c r="X73" s="56">
        <v>2234450.03</v>
      </c>
      <c r="Y73" s="55" t="s">
        <v>272</v>
      </c>
    </row>
    <row r="74" spans="1:25">
      <c r="A74" s="55" t="s">
        <v>618</v>
      </c>
      <c r="B74" s="56">
        <v>1</v>
      </c>
      <c r="C74" s="56">
        <v>0</v>
      </c>
      <c r="D74" s="56">
        <v>0</v>
      </c>
      <c r="E74" s="56">
        <v>17880000</v>
      </c>
      <c r="F74" s="56">
        <v>393889.1734</v>
      </c>
      <c r="G74" s="56">
        <v>0</v>
      </c>
      <c r="H74" s="56">
        <v>17880000</v>
      </c>
      <c r="I74" s="56">
        <v>0</v>
      </c>
      <c r="J74" s="56">
        <v>0</v>
      </c>
      <c r="K74" s="56">
        <v>2</v>
      </c>
      <c r="N74" s="56">
        <v>0</v>
      </c>
      <c r="O74" s="56">
        <v>1</v>
      </c>
      <c r="P74" s="56">
        <v>1</v>
      </c>
      <c r="Q74" s="56">
        <v>0</v>
      </c>
      <c r="R74" s="56">
        <v>17880000</v>
      </c>
      <c r="S74" s="56">
        <v>2</v>
      </c>
      <c r="T74" s="56">
        <v>0</v>
      </c>
      <c r="U74" s="56">
        <v>0</v>
      </c>
      <c r="V74" s="56">
        <v>0</v>
      </c>
      <c r="W74" s="56">
        <v>0</v>
      </c>
      <c r="X74" s="56">
        <v>17880000</v>
      </c>
      <c r="Y74" s="55" t="s">
        <v>272</v>
      </c>
    </row>
    <row r="75" spans="1:25">
      <c r="A75" s="55" t="s">
        <v>619</v>
      </c>
      <c r="B75" s="56">
        <v>60</v>
      </c>
      <c r="C75" s="56">
        <v>0</v>
      </c>
      <c r="D75" s="56">
        <v>0</v>
      </c>
      <c r="E75" s="56">
        <v>29800000</v>
      </c>
      <c r="F75" s="56">
        <v>240801.0684</v>
      </c>
      <c r="G75" s="56">
        <v>0</v>
      </c>
      <c r="H75" s="56">
        <v>29800000</v>
      </c>
      <c r="I75" s="56">
        <v>0</v>
      </c>
      <c r="J75" s="56">
        <v>6895259.22</v>
      </c>
      <c r="K75" s="56">
        <v>64</v>
      </c>
      <c r="L75" s="56">
        <v>0</v>
      </c>
      <c r="M75" s="56">
        <v>1</v>
      </c>
      <c r="N75" s="56">
        <v>0</v>
      </c>
      <c r="O75" s="56">
        <v>1</v>
      </c>
      <c r="P75" s="56">
        <v>1</v>
      </c>
      <c r="Q75" s="56">
        <v>6895259.22</v>
      </c>
      <c r="R75" s="56">
        <v>29800000</v>
      </c>
      <c r="S75" s="56">
        <v>64</v>
      </c>
      <c r="T75" s="56">
        <v>6895259.22</v>
      </c>
      <c r="U75" s="56">
        <v>0</v>
      </c>
      <c r="V75" s="56">
        <v>0</v>
      </c>
      <c r="W75" s="56">
        <v>344762.96</v>
      </c>
      <c r="X75" s="56">
        <v>29800000</v>
      </c>
      <c r="Y75" s="55" t="s">
        <v>272</v>
      </c>
    </row>
    <row r="76" spans="1:25">
      <c r="A76" s="55" t="s">
        <v>620</v>
      </c>
      <c r="B76" s="56">
        <v>2</v>
      </c>
      <c r="C76" s="56">
        <v>0</v>
      </c>
      <c r="D76" s="56">
        <v>0</v>
      </c>
      <c r="E76" s="56">
        <v>8940000</v>
      </c>
      <c r="F76" s="56">
        <v>114439.4924</v>
      </c>
      <c r="G76" s="56">
        <v>0</v>
      </c>
      <c r="H76" s="56">
        <v>8940000</v>
      </c>
      <c r="I76" s="56">
        <v>0</v>
      </c>
      <c r="J76" s="56">
        <v>6520.95</v>
      </c>
      <c r="K76" s="56">
        <v>83</v>
      </c>
      <c r="M76" s="56">
        <v>1</v>
      </c>
      <c r="N76" s="56">
        <v>0</v>
      </c>
      <c r="O76" s="56">
        <v>1</v>
      </c>
      <c r="P76" s="56">
        <v>1</v>
      </c>
      <c r="Q76" s="56">
        <v>6520.95</v>
      </c>
      <c r="R76" s="56">
        <v>17880000</v>
      </c>
      <c r="S76" s="56">
        <v>83</v>
      </c>
      <c r="T76" s="56">
        <v>6520.95</v>
      </c>
      <c r="U76" s="56">
        <v>0</v>
      </c>
      <c r="V76" s="56">
        <v>0</v>
      </c>
      <c r="W76" s="56">
        <v>326.05</v>
      </c>
      <c r="X76" s="56">
        <v>8940000</v>
      </c>
      <c r="Y76" s="55" t="s">
        <v>272</v>
      </c>
    </row>
    <row r="77" spans="1:25">
      <c r="A77" s="55" t="s">
        <v>621</v>
      </c>
      <c r="B77" s="56">
        <v>2</v>
      </c>
      <c r="C77" s="56">
        <v>0</v>
      </c>
      <c r="D77" s="56">
        <v>0</v>
      </c>
      <c r="E77" s="56">
        <v>4470000</v>
      </c>
      <c r="F77" s="56">
        <v>120928.5183</v>
      </c>
      <c r="G77" s="56">
        <v>0</v>
      </c>
      <c r="H77" s="56">
        <v>4470000</v>
      </c>
      <c r="I77" s="56">
        <v>0</v>
      </c>
      <c r="J77" s="56">
        <v>0</v>
      </c>
      <c r="K77" s="56">
        <v>15</v>
      </c>
      <c r="N77" s="56">
        <v>0</v>
      </c>
      <c r="O77" s="56">
        <v>1</v>
      </c>
      <c r="P77" s="56">
        <v>1</v>
      </c>
      <c r="Q77" s="56">
        <v>0</v>
      </c>
      <c r="R77" s="56">
        <v>195190000</v>
      </c>
      <c r="S77" s="56">
        <v>53</v>
      </c>
      <c r="T77" s="56">
        <v>0</v>
      </c>
      <c r="U77" s="56">
        <v>0</v>
      </c>
      <c r="V77" s="56">
        <v>0</v>
      </c>
      <c r="W77" s="56">
        <v>0</v>
      </c>
      <c r="X77" s="56">
        <v>4470000</v>
      </c>
      <c r="Y77" s="55" t="s">
        <v>272</v>
      </c>
    </row>
    <row r="78" spans="1:25">
      <c r="A78" s="55" t="s">
        <v>622</v>
      </c>
      <c r="B78" s="56">
        <v>162</v>
      </c>
      <c r="C78" s="56">
        <v>0</v>
      </c>
      <c r="D78" s="56">
        <v>0</v>
      </c>
      <c r="F78" s="56">
        <v>3671360</v>
      </c>
      <c r="G78" s="56">
        <v>11171933.24</v>
      </c>
      <c r="H78" s="56">
        <v>0</v>
      </c>
      <c r="I78" s="56">
        <v>5972673.545140001</v>
      </c>
      <c r="J78" s="56">
        <v>0</v>
      </c>
      <c r="K78" s="56">
        <v>6.89</v>
      </c>
      <c r="L78" s="56">
        <v>0</v>
      </c>
      <c r="M78" s="56">
        <v>1</v>
      </c>
      <c r="N78" s="56">
        <v>0</v>
      </c>
      <c r="O78" s="56">
        <v>1</v>
      </c>
      <c r="P78" s="56">
        <v>1</v>
      </c>
      <c r="Q78" s="56">
        <v>15121206.54</v>
      </c>
      <c r="R78" s="56">
        <v>44003758.76</v>
      </c>
      <c r="S78" s="56">
        <v>83</v>
      </c>
      <c r="T78" s="56">
        <v>15121206.54</v>
      </c>
      <c r="U78" s="56">
        <v>0</v>
      </c>
      <c r="V78" s="56">
        <v>0</v>
      </c>
      <c r="W78" s="56">
        <v>6166962.49</v>
      </c>
      <c r="X78" s="56">
        <v>11171933.24</v>
      </c>
      <c r="Y78" s="55" t="s">
        <v>272</v>
      </c>
    </row>
    <row r="79" spans="1:25">
      <c r="A79" s="55" t="s">
        <v>623</v>
      </c>
      <c r="B79" s="56">
        <v>12</v>
      </c>
      <c r="C79" s="56">
        <v>0</v>
      </c>
      <c r="D79" s="56">
        <v>0</v>
      </c>
      <c r="E79" s="56">
        <v>74500000</v>
      </c>
      <c r="F79" s="56">
        <v>11543672.51</v>
      </c>
      <c r="G79" s="56">
        <v>0</v>
      </c>
      <c r="H79" s="56">
        <v>125160000</v>
      </c>
      <c r="I79" s="56">
        <v>0</v>
      </c>
      <c r="J79" s="56">
        <v>26414429</v>
      </c>
      <c r="K79" s="56">
        <v>93.43000000000001</v>
      </c>
      <c r="L79" s="56">
        <v>0</v>
      </c>
      <c r="N79" s="56">
        <v>0</v>
      </c>
      <c r="O79" s="56">
        <v>1</v>
      </c>
      <c r="P79" s="56">
        <v>1</v>
      </c>
      <c r="Q79" s="56">
        <v>26414429</v>
      </c>
      <c r="R79" s="56">
        <v>1196133994.5</v>
      </c>
      <c r="S79" s="56">
        <v>232</v>
      </c>
      <c r="T79" s="56">
        <v>822673915</v>
      </c>
      <c r="U79" s="56">
        <v>0</v>
      </c>
      <c r="V79" s="56">
        <v>0</v>
      </c>
      <c r="W79" s="56">
        <v>21847441.82</v>
      </c>
      <c r="X79" s="56">
        <v>125160000</v>
      </c>
      <c r="Y79" s="55" t="s">
        <v>272</v>
      </c>
    </row>
    <row r="80" spans="1:25">
      <c r="A80" s="55" t="s">
        <v>624</v>
      </c>
      <c r="B80" s="56">
        <v>19</v>
      </c>
      <c r="C80" s="56">
        <v>0</v>
      </c>
      <c r="D80" s="56">
        <v>0</v>
      </c>
      <c r="F80" s="56">
        <v>79466666.67</v>
      </c>
      <c r="G80" s="56">
        <v>23073326.76</v>
      </c>
      <c r="H80" s="56">
        <v>0</v>
      </c>
      <c r="I80" s="56">
        <v>8193093.901183001</v>
      </c>
      <c r="J80" s="56">
        <v>0</v>
      </c>
      <c r="K80" s="56">
        <v>5</v>
      </c>
      <c r="L80" s="56">
        <v>0</v>
      </c>
      <c r="M80" s="56">
        <v>1</v>
      </c>
      <c r="N80" s="56">
        <v>1</v>
      </c>
      <c r="O80" s="56">
        <v>2</v>
      </c>
      <c r="P80" s="56">
        <v>2</v>
      </c>
      <c r="Q80" s="56">
        <v>23073326.76</v>
      </c>
      <c r="R80" s="56">
        <v>7142150097.24</v>
      </c>
      <c r="S80" s="56">
        <v>21</v>
      </c>
      <c r="T80" s="56">
        <v>6191487503.42</v>
      </c>
      <c r="U80" s="56">
        <v>0</v>
      </c>
      <c r="V80" s="56">
        <v>0</v>
      </c>
      <c r="W80" s="56">
        <v>97955120.40000001</v>
      </c>
      <c r="X80" s="56">
        <v>23073326.76</v>
      </c>
      <c r="Y80" s="55" t="s">
        <v>272</v>
      </c>
    </row>
    <row r="81" spans="1:25">
      <c r="A81" s="55" t="s">
        <v>625</v>
      </c>
      <c r="B81" s="56">
        <v>6</v>
      </c>
      <c r="C81" s="56">
        <v>0</v>
      </c>
      <c r="D81" s="56">
        <v>0</v>
      </c>
      <c r="E81" s="56">
        <v>250320000</v>
      </c>
      <c r="F81" s="56">
        <v>5004689.688</v>
      </c>
      <c r="G81" s="56">
        <v>0</v>
      </c>
      <c r="H81" s="56">
        <v>293530000</v>
      </c>
      <c r="I81" s="56">
        <v>0</v>
      </c>
      <c r="J81" s="56">
        <v>77490069.8</v>
      </c>
      <c r="K81" s="56">
        <v>164.5</v>
      </c>
      <c r="M81" s="56">
        <v>1</v>
      </c>
      <c r="N81" s="56">
        <v>0</v>
      </c>
      <c r="O81" s="56">
        <v>1</v>
      </c>
      <c r="P81" s="56">
        <v>1</v>
      </c>
      <c r="Q81" s="56">
        <v>77490069.8</v>
      </c>
      <c r="R81" s="56">
        <v>376061216.22</v>
      </c>
      <c r="S81" s="56">
        <v>222</v>
      </c>
      <c r="T81" s="56">
        <v>77490069.8</v>
      </c>
      <c r="U81" s="56">
        <v>0</v>
      </c>
      <c r="V81" s="56">
        <v>0</v>
      </c>
      <c r="W81" s="56">
        <v>3874503.49</v>
      </c>
      <c r="X81" s="56">
        <v>293530000</v>
      </c>
      <c r="Y81" s="55" t="s">
        <v>272</v>
      </c>
    </row>
    <row r="82" spans="1:25">
      <c r="A82" s="55" t="s">
        <v>626</v>
      </c>
      <c r="B82" s="56">
        <v>15</v>
      </c>
      <c r="C82" s="56">
        <v>0</v>
      </c>
      <c r="D82" s="56">
        <v>0</v>
      </c>
      <c r="E82" s="56">
        <v>22350000</v>
      </c>
      <c r="F82" s="56">
        <v>604642.5917</v>
      </c>
      <c r="G82" s="56">
        <v>0</v>
      </c>
      <c r="H82" s="56">
        <v>22350000</v>
      </c>
      <c r="I82" s="56">
        <v>0</v>
      </c>
      <c r="J82" s="56">
        <v>4349488.36</v>
      </c>
      <c r="K82" s="56">
        <v>16</v>
      </c>
      <c r="M82" s="56">
        <v>1</v>
      </c>
      <c r="N82" s="56">
        <v>0</v>
      </c>
      <c r="O82" s="56">
        <v>1</v>
      </c>
      <c r="P82" s="56">
        <v>1</v>
      </c>
      <c r="Q82" s="56">
        <v>4349488.36</v>
      </c>
      <c r="R82" s="56">
        <v>22350000</v>
      </c>
      <c r="S82" s="56">
        <v>61</v>
      </c>
      <c r="T82" s="56">
        <v>4349488.36</v>
      </c>
      <c r="U82" s="56">
        <v>0</v>
      </c>
      <c r="V82" s="56">
        <v>0</v>
      </c>
      <c r="W82" s="56">
        <v>217474.42</v>
      </c>
      <c r="X82" s="56">
        <v>22350000</v>
      </c>
      <c r="Y82" s="55" t="s">
        <v>272</v>
      </c>
    </row>
    <row r="83" spans="1:25">
      <c r="A83" s="55" t="s">
        <v>627</v>
      </c>
      <c r="B83" s="56">
        <v>12</v>
      </c>
      <c r="C83" s="56">
        <v>0</v>
      </c>
      <c r="D83" s="56">
        <v>0</v>
      </c>
      <c r="E83" s="56">
        <v>178800000</v>
      </c>
      <c r="F83" s="56">
        <v>4837140.733</v>
      </c>
      <c r="G83" s="56">
        <v>0</v>
      </c>
      <c r="H83" s="56">
        <v>582888000</v>
      </c>
      <c r="I83" s="56">
        <v>0</v>
      </c>
      <c r="J83" s="56">
        <v>4875228</v>
      </c>
      <c r="K83" s="56">
        <v>65</v>
      </c>
      <c r="N83" s="56">
        <v>0</v>
      </c>
      <c r="O83" s="56">
        <v>1</v>
      </c>
      <c r="P83" s="56">
        <v>1</v>
      </c>
      <c r="Q83" s="56">
        <v>4875228</v>
      </c>
      <c r="R83" s="56">
        <v>648448000</v>
      </c>
      <c r="S83" s="56">
        <v>95</v>
      </c>
      <c r="T83" s="56">
        <v>4875228</v>
      </c>
      <c r="U83" s="56">
        <v>0</v>
      </c>
      <c r="V83" s="56">
        <v>0</v>
      </c>
      <c r="W83" s="56">
        <v>243761.4</v>
      </c>
      <c r="X83" s="56">
        <v>582888000</v>
      </c>
      <c r="Y83" s="55" t="s">
        <v>272</v>
      </c>
    </row>
    <row r="84" spans="1:25">
      <c r="A84" s="55" t="s">
        <v>628</v>
      </c>
      <c r="B84" s="56">
        <v>3</v>
      </c>
      <c r="C84" s="56">
        <v>0</v>
      </c>
      <c r="D84" s="56">
        <v>0</v>
      </c>
      <c r="F84" s="56">
        <v>7669954.917</v>
      </c>
      <c r="G84" s="56">
        <v>87246</v>
      </c>
      <c r="H84" s="56">
        <v>0</v>
      </c>
      <c r="I84" s="56">
        <v>1904982.0404</v>
      </c>
      <c r="J84" s="56">
        <v>0</v>
      </c>
      <c r="K84" s="56">
        <v>20.33</v>
      </c>
      <c r="L84" s="56">
        <v>0</v>
      </c>
      <c r="N84" s="56">
        <v>0</v>
      </c>
      <c r="O84" s="56">
        <v>1</v>
      </c>
      <c r="P84" s="56">
        <v>1</v>
      </c>
      <c r="Q84" s="56">
        <v>87246</v>
      </c>
      <c r="R84" s="56">
        <v>1319395709</v>
      </c>
      <c r="S84" s="56">
        <v>50</v>
      </c>
      <c r="T84" s="56">
        <v>1014713497</v>
      </c>
      <c r="U84" s="56">
        <v>0</v>
      </c>
      <c r="V84" s="56">
        <v>0</v>
      </c>
      <c r="W84" s="56">
        <v>9574936.960000001</v>
      </c>
      <c r="X84" s="56">
        <v>87246</v>
      </c>
      <c r="Y84" s="55" t="s">
        <v>272</v>
      </c>
    </row>
    <row r="85" spans="1:25">
      <c r="A85" s="55" t="s">
        <v>629</v>
      </c>
      <c r="B85" s="56">
        <v>18</v>
      </c>
      <c r="C85" s="56">
        <v>0</v>
      </c>
      <c r="D85" s="56">
        <v>0</v>
      </c>
      <c r="G85" s="56">
        <v>0</v>
      </c>
      <c r="H85" s="56">
        <v>0</v>
      </c>
      <c r="I85" s="56">
        <v>0</v>
      </c>
      <c r="J85" s="56">
        <v>0</v>
      </c>
      <c r="L85" s="56">
        <v>0</v>
      </c>
      <c r="M85" s="56">
        <v>1</v>
      </c>
      <c r="O85" s="56">
        <v>1</v>
      </c>
      <c r="P85" s="56">
        <v>1</v>
      </c>
      <c r="Q85" s="56">
        <v>0</v>
      </c>
      <c r="R85" s="56">
        <v>10938554.88</v>
      </c>
      <c r="S85" s="56">
        <v>22</v>
      </c>
      <c r="T85" s="56">
        <v>0</v>
      </c>
      <c r="U85" s="56">
        <v>0</v>
      </c>
      <c r="V85" s="56">
        <v>0</v>
      </c>
      <c r="W85" s="56">
        <v>0</v>
      </c>
      <c r="X85" s="56">
        <v>0</v>
      </c>
      <c r="Y85" s="55" t="s">
        <v>272</v>
      </c>
    </row>
    <row r="86" spans="1:25">
      <c r="A86" s="55" t="s">
        <v>630</v>
      </c>
      <c r="B86" s="56">
        <v>16</v>
      </c>
      <c r="C86" s="56">
        <v>0</v>
      </c>
      <c r="D86" s="56">
        <v>4</v>
      </c>
      <c r="E86" s="56">
        <v>298000000</v>
      </c>
      <c r="F86" s="56">
        <v>7311726.941</v>
      </c>
      <c r="G86" s="56">
        <v>0</v>
      </c>
      <c r="H86" s="56">
        <v>351640000</v>
      </c>
      <c r="I86" s="56">
        <v>0</v>
      </c>
      <c r="J86" s="56">
        <v>242005429.44</v>
      </c>
      <c r="K86" s="56">
        <v>113.33</v>
      </c>
      <c r="L86" s="56">
        <v>0</v>
      </c>
      <c r="M86" s="56">
        <v>5</v>
      </c>
      <c r="N86" s="56">
        <v>1615</v>
      </c>
      <c r="O86" s="56">
        <v>5</v>
      </c>
      <c r="P86" s="56">
        <v>5</v>
      </c>
      <c r="Q86" s="56">
        <v>694647482.4399999</v>
      </c>
      <c r="R86" s="56">
        <v>27653675138.76</v>
      </c>
      <c r="S86" s="56">
        <v>183</v>
      </c>
      <c r="T86" s="56">
        <v>17754209418.44</v>
      </c>
      <c r="U86" s="56">
        <v>1</v>
      </c>
      <c r="V86" s="56">
        <v>0</v>
      </c>
      <c r="W86" s="56">
        <v>12100271.47</v>
      </c>
      <c r="X86" s="56">
        <v>351640000</v>
      </c>
      <c r="Y86" s="55" t="s">
        <v>546</v>
      </c>
    </row>
    <row r="87" spans="1:25">
      <c r="A87" s="55" t="s">
        <v>631</v>
      </c>
      <c r="B87" s="56">
        <v>17</v>
      </c>
      <c r="C87" s="56">
        <v>0</v>
      </c>
      <c r="D87" s="56">
        <v>0</v>
      </c>
      <c r="E87" s="56">
        <v>13410000</v>
      </c>
      <c r="F87" s="56">
        <v>331359.1542</v>
      </c>
      <c r="G87" s="56">
        <v>0</v>
      </c>
      <c r="H87" s="56">
        <v>20860000</v>
      </c>
      <c r="I87" s="56">
        <v>0</v>
      </c>
      <c r="J87" s="56">
        <v>140572.96</v>
      </c>
      <c r="K87" s="56">
        <v>20.5</v>
      </c>
      <c r="L87" s="56">
        <v>0</v>
      </c>
      <c r="M87" s="56">
        <v>1</v>
      </c>
      <c r="N87" s="56">
        <v>0</v>
      </c>
      <c r="O87" s="56">
        <v>1</v>
      </c>
      <c r="P87" s="56">
        <v>1</v>
      </c>
      <c r="Q87" s="56">
        <v>140572.96</v>
      </c>
      <c r="R87" s="56">
        <v>35886390.74</v>
      </c>
      <c r="S87" s="56">
        <v>48</v>
      </c>
      <c r="T87" s="56">
        <v>140572.96</v>
      </c>
      <c r="U87" s="56">
        <v>0</v>
      </c>
      <c r="V87" s="56">
        <v>0</v>
      </c>
      <c r="W87" s="56">
        <v>7028.65</v>
      </c>
      <c r="X87" s="56">
        <v>20860000</v>
      </c>
      <c r="Y87" s="55" t="s">
        <v>272</v>
      </c>
    </row>
    <row r="88" spans="1:25">
      <c r="A88" s="55" t="s">
        <v>632</v>
      </c>
      <c r="B88" s="56">
        <v>2</v>
      </c>
      <c r="C88" s="56">
        <v>0</v>
      </c>
      <c r="D88" s="56">
        <v>0</v>
      </c>
      <c r="E88" s="56">
        <v>29800000</v>
      </c>
      <c r="F88" s="56">
        <v>7903469.332</v>
      </c>
      <c r="G88" s="56">
        <v>0</v>
      </c>
      <c r="H88" s="56">
        <v>29800000</v>
      </c>
      <c r="I88" s="56">
        <v>0</v>
      </c>
      <c r="J88" s="56">
        <v>25589487.17</v>
      </c>
      <c r="K88" s="56">
        <v>7</v>
      </c>
      <c r="L88" s="56">
        <v>0</v>
      </c>
      <c r="N88" s="56">
        <v>0</v>
      </c>
      <c r="O88" s="56">
        <v>1</v>
      </c>
      <c r="P88" s="56">
        <v>1</v>
      </c>
      <c r="Q88" s="56">
        <v>25589487.17</v>
      </c>
      <c r="R88" s="56">
        <v>388733187.9</v>
      </c>
      <c r="S88" s="56">
        <v>7</v>
      </c>
      <c r="T88" s="56">
        <v>256723648.17</v>
      </c>
      <c r="U88" s="56">
        <v>0</v>
      </c>
      <c r="V88" s="56">
        <v>0</v>
      </c>
      <c r="W88" s="56">
        <v>9182943.689999999</v>
      </c>
      <c r="X88" s="56">
        <v>29800000</v>
      </c>
      <c r="Y88" s="55" t="s">
        <v>272</v>
      </c>
    </row>
    <row r="89" spans="1:25">
      <c r="A89" s="55" t="s">
        <v>633</v>
      </c>
      <c r="B89" s="56">
        <v>10</v>
      </c>
      <c r="C89" s="56">
        <v>0</v>
      </c>
      <c r="D89" s="56">
        <v>0</v>
      </c>
      <c r="E89" s="56">
        <v>312900000</v>
      </c>
      <c r="F89" s="56">
        <v>4905422.159</v>
      </c>
      <c r="G89" s="56">
        <v>0</v>
      </c>
      <c r="H89" s="56">
        <v>312900000</v>
      </c>
      <c r="I89" s="56">
        <v>0</v>
      </c>
      <c r="J89" s="56">
        <v>5491212.08</v>
      </c>
      <c r="K89" s="56">
        <v>120</v>
      </c>
      <c r="M89" s="56">
        <v>1</v>
      </c>
      <c r="N89" s="56">
        <v>0</v>
      </c>
      <c r="O89" s="56">
        <v>1</v>
      </c>
      <c r="P89" s="56">
        <v>1</v>
      </c>
      <c r="Q89" s="56">
        <v>5491212.08</v>
      </c>
      <c r="R89" s="56">
        <v>312900000</v>
      </c>
      <c r="S89" s="56">
        <v>166</v>
      </c>
      <c r="T89" s="56">
        <v>5491212.08</v>
      </c>
      <c r="U89" s="56">
        <v>0</v>
      </c>
      <c r="V89" s="56">
        <v>0</v>
      </c>
      <c r="W89" s="56">
        <v>274560.6</v>
      </c>
      <c r="X89" s="56">
        <v>312900000</v>
      </c>
      <c r="Y89" s="55" t="s">
        <v>272</v>
      </c>
    </row>
    <row r="90" spans="1:25">
      <c r="A90" s="55" t="s">
        <v>634</v>
      </c>
      <c r="B90" s="56">
        <v>13</v>
      </c>
      <c r="C90" s="56">
        <v>0</v>
      </c>
      <c r="D90" s="56">
        <v>0</v>
      </c>
      <c r="F90" s="56">
        <v>8246531.574</v>
      </c>
      <c r="G90" s="56">
        <v>1505979.05</v>
      </c>
      <c r="H90" s="56">
        <v>0</v>
      </c>
      <c r="I90" s="56">
        <v>246195.2725</v>
      </c>
      <c r="J90" s="56">
        <v>0</v>
      </c>
      <c r="K90" s="56">
        <v>13</v>
      </c>
      <c r="L90" s="56">
        <v>0</v>
      </c>
      <c r="M90" s="56">
        <v>1</v>
      </c>
      <c r="N90" s="56">
        <v>0</v>
      </c>
      <c r="O90" s="56">
        <v>1</v>
      </c>
      <c r="P90" s="56">
        <v>1</v>
      </c>
      <c r="Q90" s="56">
        <v>1505979.05</v>
      </c>
      <c r="R90" s="56">
        <v>3586227416.62</v>
      </c>
      <c r="S90" s="56">
        <v>119</v>
      </c>
      <c r="T90" s="56">
        <v>725524035.15</v>
      </c>
      <c r="U90" s="56">
        <v>0</v>
      </c>
      <c r="V90" s="56">
        <v>1</v>
      </c>
      <c r="W90" s="56">
        <v>8492726.85</v>
      </c>
      <c r="X90" s="56">
        <v>1505979.05</v>
      </c>
      <c r="Y90" s="55" t="s">
        <v>563</v>
      </c>
    </row>
    <row r="91" spans="1:25">
      <c r="A91" s="55" t="s">
        <v>635</v>
      </c>
      <c r="B91" s="56">
        <v>6</v>
      </c>
      <c r="C91" s="56">
        <v>0</v>
      </c>
      <c r="D91" s="56">
        <v>0</v>
      </c>
      <c r="E91" s="56">
        <v>84930000</v>
      </c>
      <c r="F91" s="56">
        <v>1571492.773</v>
      </c>
      <c r="G91" s="56">
        <v>0</v>
      </c>
      <c r="H91" s="56">
        <v>141550000</v>
      </c>
      <c r="I91" s="56">
        <v>0</v>
      </c>
      <c r="J91" s="56">
        <v>0</v>
      </c>
      <c r="K91" s="56">
        <v>127</v>
      </c>
      <c r="L91" s="56">
        <v>0</v>
      </c>
      <c r="M91" s="56">
        <v>1</v>
      </c>
      <c r="N91" s="56">
        <v>0</v>
      </c>
      <c r="O91" s="56">
        <v>1</v>
      </c>
      <c r="P91" s="56">
        <v>1</v>
      </c>
      <c r="Q91" s="56">
        <v>0</v>
      </c>
      <c r="R91" s="56">
        <v>175820000</v>
      </c>
      <c r="S91" s="56">
        <v>216</v>
      </c>
      <c r="T91" s="56">
        <v>0</v>
      </c>
      <c r="U91" s="56">
        <v>0</v>
      </c>
      <c r="V91" s="56">
        <v>0</v>
      </c>
      <c r="W91" s="56">
        <v>0</v>
      </c>
      <c r="X91" s="56">
        <v>141550000</v>
      </c>
      <c r="Y91" s="55" t="s">
        <v>272</v>
      </c>
    </row>
    <row r="92" spans="1:25">
      <c r="A92" s="55" t="s">
        <v>636</v>
      </c>
      <c r="B92" s="56">
        <v>3</v>
      </c>
      <c r="C92" s="56">
        <v>0</v>
      </c>
      <c r="D92" s="56">
        <v>0</v>
      </c>
      <c r="F92" s="56">
        <v>11847943.43</v>
      </c>
      <c r="G92" s="56">
        <v>1857797.72</v>
      </c>
      <c r="H92" s="56">
        <v>0</v>
      </c>
      <c r="I92" s="56">
        <v>1650507.4252</v>
      </c>
      <c r="J92" s="56">
        <v>0</v>
      </c>
      <c r="K92" s="56">
        <v>14.67</v>
      </c>
      <c r="L92" s="56">
        <v>0</v>
      </c>
      <c r="N92" s="56">
        <v>9</v>
      </c>
      <c r="O92" s="56">
        <v>2</v>
      </c>
      <c r="P92" s="56">
        <v>2</v>
      </c>
      <c r="Q92" s="56">
        <v>1857797.72</v>
      </c>
      <c r="R92" s="56">
        <v>1071172331.93</v>
      </c>
      <c r="S92" s="56">
        <v>38</v>
      </c>
      <c r="T92" s="56">
        <v>791111480.52</v>
      </c>
      <c r="U92" s="56">
        <v>0</v>
      </c>
      <c r="V92" s="56">
        <v>0</v>
      </c>
      <c r="W92" s="56">
        <v>13498450.86</v>
      </c>
      <c r="X92" s="56">
        <v>1857797.72</v>
      </c>
      <c r="Y92" s="55" t="s">
        <v>272</v>
      </c>
    </row>
    <row r="93" spans="1:25">
      <c r="A93" s="55" t="s">
        <v>637</v>
      </c>
      <c r="B93" s="56">
        <v>14</v>
      </c>
      <c r="C93" s="56">
        <v>0</v>
      </c>
      <c r="D93" s="56">
        <v>0</v>
      </c>
      <c r="E93" s="56">
        <v>372500000</v>
      </c>
      <c r="F93" s="56">
        <v>107140329.9</v>
      </c>
      <c r="G93" s="56">
        <v>0</v>
      </c>
      <c r="H93" s="56">
        <v>683910000</v>
      </c>
      <c r="I93" s="56">
        <v>0</v>
      </c>
      <c r="J93" s="56">
        <v>332800736.9</v>
      </c>
      <c r="K93" s="56">
        <v>39.29</v>
      </c>
      <c r="L93" s="56">
        <v>0</v>
      </c>
      <c r="M93" s="56">
        <v>2</v>
      </c>
      <c r="N93" s="56">
        <v>0</v>
      </c>
      <c r="O93" s="56">
        <v>1</v>
      </c>
      <c r="P93" s="56">
        <v>2</v>
      </c>
      <c r="Q93" s="56">
        <v>332800736.9</v>
      </c>
      <c r="R93" s="56">
        <v>12591400893</v>
      </c>
      <c r="S93" s="56">
        <v>97</v>
      </c>
      <c r="T93" s="56">
        <v>11118577126.9</v>
      </c>
      <c r="U93" s="56">
        <v>0</v>
      </c>
      <c r="V93" s="56">
        <v>0</v>
      </c>
      <c r="W93" s="56">
        <v>164832571.94</v>
      </c>
      <c r="X93" s="56">
        <v>683910000</v>
      </c>
      <c r="Y93" s="55" t="s">
        <v>272</v>
      </c>
    </row>
    <row r="94" spans="1:25">
      <c r="A94" s="55" t="s">
        <v>638</v>
      </c>
      <c r="B94" s="56">
        <v>160</v>
      </c>
      <c r="C94" s="56">
        <v>0</v>
      </c>
      <c r="D94" s="56">
        <v>0</v>
      </c>
      <c r="F94" s="56">
        <v>1056977.784</v>
      </c>
      <c r="G94" s="56">
        <v>9377257.640000001</v>
      </c>
      <c r="H94" s="56">
        <v>0</v>
      </c>
      <c r="I94" s="56">
        <v>1827610.314027</v>
      </c>
      <c r="J94" s="56">
        <v>0</v>
      </c>
      <c r="K94" s="56">
        <v>7.6</v>
      </c>
      <c r="L94" s="56">
        <v>0</v>
      </c>
      <c r="M94" s="56">
        <v>1</v>
      </c>
      <c r="N94" s="56">
        <v>0</v>
      </c>
      <c r="O94" s="56">
        <v>1</v>
      </c>
      <c r="P94" s="56">
        <v>1</v>
      </c>
      <c r="Q94" s="56">
        <v>9377257.640000001</v>
      </c>
      <c r="R94" s="56">
        <v>28419415.17</v>
      </c>
      <c r="S94" s="56">
        <v>58</v>
      </c>
      <c r="T94" s="56">
        <v>9377257.640000001</v>
      </c>
      <c r="U94" s="56">
        <v>0</v>
      </c>
      <c r="V94" s="56">
        <v>0</v>
      </c>
      <c r="W94" s="56">
        <v>1827610.31</v>
      </c>
      <c r="X94" s="56">
        <v>9377257.640000001</v>
      </c>
      <c r="Y94" s="55" t="s">
        <v>272</v>
      </c>
    </row>
    <row r="95" spans="1:25">
      <c r="A95" s="55" t="s">
        <v>639</v>
      </c>
      <c r="B95" s="56">
        <v>54</v>
      </c>
      <c r="C95" s="56">
        <v>0</v>
      </c>
      <c r="D95" s="56">
        <v>0</v>
      </c>
      <c r="E95" s="56">
        <v>107280000</v>
      </c>
      <c r="F95" s="56">
        <v>2902284.44</v>
      </c>
      <c r="G95" s="56">
        <v>0</v>
      </c>
      <c r="H95" s="56">
        <v>533420000</v>
      </c>
      <c r="I95" s="56">
        <v>0</v>
      </c>
      <c r="J95" s="56">
        <v>9252731.84</v>
      </c>
      <c r="K95" s="56">
        <v>50.67</v>
      </c>
      <c r="L95" s="56">
        <v>0</v>
      </c>
      <c r="M95" s="56">
        <v>1</v>
      </c>
      <c r="N95" s="56">
        <v>0</v>
      </c>
      <c r="O95" s="56">
        <v>1</v>
      </c>
      <c r="P95" s="56">
        <v>1</v>
      </c>
      <c r="Q95" s="56">
        <v>9252731.84</v>
      </c>
      <c r="R95" s="56">
        <v>712220000</v>
      </c>
      <c r="S95" s="56">
        <v>135</v>
      </c>
      <c r="T95" s="56">
        <v>9252731.84</v>
      </c>
      <c r="U95" s="56">
        <v>0</v>
      </c>
      <c r="V95" s="56">
        <v>0</v>
      </c>
      <c r="W95" s="56">
        <v>462636.59</v>
      </c>
      <c r="X95" s="56">
        <v>533420000</v>
      </c>
      <c r="Y95" s="55" t="s">
        <v>272</v>
      </c>
    </row>
    <row r="96" spans="1:25">
      <c r="A96" s="55" t="s">
        <v>640</v>
      </c>
      <c r="B96" s="56">
        <v>9</v>
      </c>
      <c r="C96" s="56">
        <v>0</v>
      </c>
      <c r="D96" s="56">
        <v>0</v>
      </c>
      <c r="E96" s="56">
        <v>372500000</v>
      </c>
      <c r="F96" s="56">
        <v>10077376.53</v>
      </c>
      <c r="G96" s="56">
        <v>0</v>
      </c>
      <c r="H96" s="56">
        <v>818755000</v>
      </c>
      <c r="I96" s="56">
        <v>0</v>
      </c>
      <c r="J96" s="56">
        <v>11524979.04</v>
      </c>
      <c r="K96" s="56">
        <v>63.67</v>
      </c>
      <c r="L96" s="56">
        <v>0</v>
      </c>
      <c r="M96" s="56">
        <v>1</v>
      </c>
      <c r="N96" s="56">
        <v>0</v>
      </c>
      <c r="O96" s="56">
        <v>1</v>
      </c>
      <c r="P96" s="56">
        <v>1</v>
      </c>
      <c r="Q96" s="56">
        <v>11524979.04</v>
      </c>
      <c r="R96" s="56">
        <v>906665000</v>
      </c>
      <c r="S96" s="56">
        <v>154</v>
      </c>
      <c r="T96" s="56">
        <v>11524979.04</v>
      </c>
      <c r="U96" s="56">
        <v>0</v>
      </c>
      <c r="V96" s="56">
        <v>0</v>
      </c>
      <c r="W96" s="56">
        <v>576248.95</v>
      </c>
      <c r="X96" s="56">
        <v>818755000</v>
      </c>
      <c r="Y96" s="55" t="s">
        <v>272</v>
      </c>
    </row>
    <row r="97" spans="1:25">
      <c r="A97" s="55" t="s">
        <v>641</v>
      </c>
      <c r="B97" s="56">
        <v>1</v>
      </c>
      <c r="C97" s="56">
        <v>0</v>
      </c>
      <c r="D97" s="56">
        <v>0</v>
      </c>
      <c r="E97" s="56">
        <v>217540000</v>
      </c>
      <c r="F97" s="56">
        <v>2635859.834</v>
      </c>
      <c r="G97" s="56">
        <v>0</v>
      </c>
      <c r="H97" s="56">
        <v>217540000</v>
      </c>
      <c r="I97" s="56">
        <v>0</v>
      </c>
      <c r="J97" s="56">
        <v>0</v>
      </c>
      <c r="K97" s="56">
        <v>215</v>
      </c>
      <c r="N97" s="56">
        <v>0</v>
      </c>
      <c r="O97" s="56">
        <v>1</v>
      </c>
      <c r="P97" s="56">
        <v>1</v>
      </c>
      <c r="Q97" s="56">
        <v>0</v>
      </c>
      <c r="R97" s="56">
        <v>217540000</v>
      </c>
      <c r="S97" s="56">
        <v>215</v>
      </c>
      <c r="T97" s="56">
        <v>0</v>
      </c>
      <c r="U97" s="56">
        <v>0</v>
      </c>
      <c r="V97" s="56">
        <v>0</v>
      </c>
      <c r="W97" s="56">
        <v>0</v>
      </c>
      <c r="X97" s="56">
        <v>217540000</v>
      </c>
      <c r="Y97" s="55" t="s">
        <v>272</v>
      </c>
    </row>
    <row r="98" spans="1:25">
      <c r="A98" s="55" t="s">
        <v>642</v>
      </c>
      <c r="B98" s="56">
        <v>5</v>
      </c>
      <c r="C98" s="56">
        <v>0</v>
      </c>
      <c r="D98" s="56">
        <v>0</v>
      </c>
      <c r="E98" s="56">
        <v>74500000</v>
      </c>
      <c r="F98" s="56">
        <v>20400285.95</v>
      </c>
      <c r="G98" s="56">
        <v>0</v>
      </c>
      <c r="H98" s="56">
        <v>138570000</v>
      </c>
      <c r="I98" s="56">
        <v>0</v>
      </c>
      <c r="J98" s="56">
        <v>64169576.17</v>
      </c>
      <c r="K98" s="56">
        <v>27.67</v>
      </c>
      <c r="M98" s="56">
        <v>1</v>
      </c>
      <c r="N98" s="56">
        <v>0</v>
      </c>
      <c r="O98" s="56">
        <v>1</v>
      </c>
      <c r="P98" s="56">
        <v>1</v>
      </c>
      <c r="Q98" s="56">
        <v>64169576.17</v>
      </c>
      <c r="R98" s="56">
        <v>3935044759</v>
      </c>
      <c r="S98" s="56">
        <v>52</v>
      </c>
      <c r="T98" s="56">
        <v>2707184942.17</v>
      </c>
      <c r="U98" s="56">
        <v>0</v>
      </c>
      <c r="V98" s="56">
        <v>0</v>
      </c>
      <c r="W98" s="56">
        <v>23608764.76</v>
      </c>
      <c r="X98" s="56">
        <v>138570000</v>
      </c>
      <c r="Y98" s="55" t="s">
        <v>272</v>
      </c>
    </row>
    <row r="99" spans="1:25">
      <c r="A99" s="55" t="s">
        <v>643</v>
      </c>
      <c r="B99" s="56">
        <v>6</v>
      </c>
      <c r="C99" s="56">
        <v>0</v>
      </c>
      <c r="D99" s="56">
        <v>0</v>
      </c>
      <c r="E99" s="56">
        <v>1458710000</v>
      </c>
      <c r="F99" s="56">
        <v>38741765.74</v>
      </c>
      <c r="G99" s="56">
        <v>0</v>
      </c>
      <c r="H99" s="56">
        <v>2731170000</v>
      </c>
      <c r="I99" s="56">
        <v>0</v>
      </c>
      <c r="J99" s="56">
        <v>24424229.81</v>
      </c>
      <c r="K99" s="56">
        <v>72</v>
      </c>
      <c r="M99" s="56">
        <v>1</v>
      </c>
      <c r="N99" s="56">
        <v>0</v>
      </c>
      <c r="O99" s="56">
        <v>1</v>
      </c>
      <c r="P99" s="56">
        <v>1</v>
      </c>
      <c r="Q99" s="56">
        <v>24424229.81</v>
      </c>
      <c r="R99" s="56">
        <v>2819229000</v>
      </c>
      <c r="S99" s="56">
        <v>164</v>
      </c>
      <c r="T99" s="56">
        <v>24424229.81</v>
      </c>
      <c r="U99" s="56">
        <v>0</v>
      </c>
      <c r="V99" s="56">
        <v>0</v>
      </c>
      <c r="W99" s="56">
        <v>1221211.49</v>
      </c>
      <c r="X99" s="56">
        <v>2731170000</v>
      </c>
      <c r="Y99" s="55" t="s">
        <v>272</v>
      </c>
    </row>
    <row r="100" spans="1:25">
      <c r="A100" s="55" t="s">
        <v>644</v>
      </c>
      <c r="B100" s="56">
        <v>22</v>
      </c>
      <c r="C100" s="56">
        <v>0</v>
      </c>
      <c r="D100" s="56">
        <v>0</v>
      </c>
      <c r="E100" s="56">
        <v>174330000</v>
      </c>
      <c r="F100" s="56">
        <v>2090054.574</v>
      </c>
      <c r="G100" s="56">
        <v>0</v>
      </c>
      <c r="H100" s="56">
        <v>174330000</v>
      </c>
      <c r="I100" s="56">
        <v>0</v>
      </c>
      <c r="J100" s="56">
        <v>882080</v>
      </c>
      <c r="K100" s="56">
        <v>51</v>
      </c>
      <c r="M100" s="56">
        <v>5</v>
      </c>
      <c r="N100" s="56">
        <v>0</v>
      </c>
      <c r="O100" s="56">
        <v>1</v>
      </c>
      <c r="P100" s="56">
        <v>1</v>
      </c>
      <c r="Q100" s="56">
        <v>882080</v>
      </c>
      <c r="R100" s="56">
        <v>278630000</v>
      </c>
      <c r="S100" s="56">
        <v>51</v>
      </c>
      <c r="T100" s="56">
        <v>882080</v>
      </c>
      <c r="U100" s="56">
        <v>0</v>
      </c>
      <c r="V100" s="56">
        <v>0</v>
      </c>
      <c r="W100" s="56">
        <v>44104</v>
      </c>
      <c r="X100" s="56">
        <v>174330000</v>
      </c>
      <c r="Y100" s="55" t="s">
        <v>272</v>
      </c>
    </row>
    <row r="101" spans="1:25">
      <c r="A101" s="55" t="s">
        <v>645</v>
      </c>
      <c r="B101" s="56">
        <v>10</v>
      </c>
      <c r="C101" s="56">
        <v>0</v>
      </c>
      <c r="D101" s="56">
        <v>0</v>
      </c>
      <c r="E101" s="56">
        <v>230950000</v>
      </c>
      <c r="F101" s="56">
        <v>4022827.458</v>
      </c>
      <c r="G101" s="56">
        <v>0</v>
      </c>
      <c r="H101" s="56">
        <v>584080000</v>
      </c>
      <c r="I101" s="56">
        <v>0</v>
      </c>
      <c r="J101" s="56">
        <v>31855792.97</v>
      </c>
      <c r="K101" s="56">
        <v>103.5</v>
      </c>
      <c r="L101" s="56">
        <v>0</v>
      </c>
      <c r="N101" s="56">
        <v>0</v>
      </c>
      <c r="O101" s="56">
        <v>1</v>
      </c>
      <c r="P101" s="56">
        <v>1</v>
      </c>
      <c r="Q101" s="56">
        <v>31855792.97</v>
      </c>
      <c r="R101" s="56">
        <v>734123000</v>
      </c>
      <c r="S101" s="56">
        <v>134</v>
      </c>
      <c r="T101" s="56">
        <v>31855792.97</v>
      </c>
      <c r="U101" s="56">
        <v>0</v>
      </c>
      <c r="V101" s="56">
        <v>0</v>
      </c>
      <c r="W101" s="56">
        <v>1592789.65</v>
      </c>
      <c r="X101" s="56">
        <v>584080000</v>
      </c>
      <c r="Y101" s="55" t="s">
        <v>272</v>
      </c>
    </row>
    <row r="102" spans="1:25">
      <c r="A102" s="55" t="s">
        <v>646</v>
      </c>
      <c r="B102" s="56">
        <v>3</v>
      </c>
      <c r="C102" s="56">
        <v>0</v>
      </c>
      <c r="D102" s="56">
        <v>0</v>
      </c>
      <c r="E102" s="56">
        <v>149000000</v>
      </c>
      <c r="F102" s="56">
        <v>2978981.957</v>
      </c>
      <c r="G102" s="56">
        <v>0</v>
      </c>
      <c r="H102" s="56">
        <v>193700000</v>
      </c>
      <c r="I102" s="56">
        <v>0</v>
      </c>
      <c r="J102" s="56">
        <v>3287882.25</v>
      </c>
      <c r="K102" s="56">
        <v>111</v>
      </c>
      <c r="M102" s="56">
        <v>1</v>
      </c>
      <c r="N102" s="56">
        <v>0</v>
      </c>
      <c r="O102" s="56">
        <v>1</v>
      </c>
      <c r="P102" s="56">
        <v>1</v>
      </c>
      <c r="Q102" s="56">
        <v>3287882.25</v>
      </c>
      <c r="R102" s="56">
        <v>384357259.1</v>
      </c>
      <c r="S102" s="56">
        <v>111</v>
      </c>
      <c r="T102" s="56">
        <v>3287882.25</v>
      </c>
      <c r="U102" s="56">
        <v>0</v>
      </c>
      <c r="V102" s="56">
        <v>0</v>
      </c>
      <c r="W102" s="56">
        <v>164394.11</v>
      </c>
      <c r="X102" s="56">
        <v>193700000</v>
      </c>
      <c r="Y102" s="55" t="s">
        <v>272</v>
      </c>
    </row>
    <row r="103" spans="1:25">
      <c r="A103" s="55" t="s">
        <v>647</v>
      </c>
      <c r="B103" s="56">
        <v>2</v>
      </c>
      <c r="C103" s="56">
        <v>0</v>
      </c>
      <c r="D103" s="56">
        <v>0</v>
      </c>
      <c r="E103" s="56">
        <v>4470000</v>
      </c>
      <c r="F103" s="56">
        <v>120928.5183</v>
      </c>
      <c r="G103" s="56">
        <v>0</v>
      </c>
      <c r="H103" s="56">
        <v>4470000</v>
      </c>
      <c r="I103" s="56">
        <v>0</v>
      </c>
      <c r="J103" s="56">
        <v>2864804.26</v>
      </c>
      <c r="K103" s="56">
        <v>15</v>
      </c>
      <c r="M103" s="56">
        <v>1</v>
      </c>
      <c r="N103" s="56">
        <v>0</v>
      </c>
      <c r="O103" s="56">
        <v>1</v>
      </c>
      <c r="P103" s="56">
        <v>1</v>
      </c>
      <c r="Q103" s="56">
        <v>2864804.26</v>
      </c>
      <c r="R103" s="56">
        <v>8940000</v>
      </c>
      <c r="S103" s="56">
        <v>15</v>
      </c>
      <c r="T103" s="56">
        <v>2864804.26</v>
      </c>
      <c r="U103" s="56">
        <v>0</v>
      </c>
      <c r="V103" s="56">
        <v>0</v>
      </c>
      <c r="W103" s="56">
        <v>143240.21</v>
      </c>
      <c r="X103" s="56">
        <v>4470000</v>
      </c>
      <c r="Y103" s="55" t="s">
        <v>272</v>
      </c>
    </row>
    <row r="104" spans="1:25">
      <c r="A104" s="55" t="s">
        <v>648</v>
      </c>
      <c r="B104" s="56">
        <v>33</v>
      </c>
      <c r="C104" s="56">
        <v>0</v>
      </c>
      <c r="D104" s="56">
        <v>0</v>
      </c>
      <c r="F104" s="56">
        <v>2503200</v>
      </c>
      <c r="G104" s="56">
        <v>6131633.439999999</v>
      </c>
      <c r="H104" s="56">
        <v>0</v>
      </c>
      <c r="I104" s="56">
        <v>3993833.16478</v>
      </c>
      <c r="J104" s="56">
        <v>0</v>
      </c>
      <c r="K104" s="56">
        <v>1</v>
      </c>
      <c r="L104" s="56">
        <v>0</v>
      </c>
      <c r="M104" s="56">
        <v>3</v>
      </c>
      <c r="N104" s="56">
        <v>0</v>
      </c>
      <c r="O104" s="56">
        <v>2</v>
      </c>
      <c r="P104" s="56">
        <v>2</v>
      </c>
      <c r="Q104" s="56">
        <v>6131633.439999999</v>
      </c>
      <c r="R104" s="56">
        <v>20405275.84</v>
      </c>
      <c r="S104" s="56">
        <v>47</v>
      </c>
      <c r="T104" s="56">
        <v>6131633.439999999</v>
      </c>
      <c r="U104" s="56">
        <v>0</v>
      </c>
      <c r="V104" s="56">
        <v>0</v>
      </c>
      <c r="W104" s="56">
        <v>3993833.16</v>
      </c>
      <c r="X104" s="56">
        <v>6131633.44</v>
      </c>
      <c r="Y104" s="55" t="s">
        <v>272</v>
      </c>
    </row>
    <row r="105" spans="1:25">
      <c r="A105" s="55" t="s">
        <v>649</v>
      </c>
      <c r="B105" s="56">
        <v>48</v>
      </c>
      <c r="C105" s="56">
        <v>0</v>
      </c>
      <c r="D105" s="56">
        <v>0</v>
      </c>
      <c r="E105" s="56">
        <v>59600000</v>
      </c>
      <c r="F105" s="56">
        <v>9313510.131999999</v>
      </c>
      <c r="G105" s="56">
        <v>0</v>
      </c>
      <c r="H105" s="56">
        <v>162172114.05</v>
      </c>
      <c r="I105" s="56">
        <v>0</v>
      </c>
      <c r="J105" s="56">
        <v>0</v>
      </c>
      <c r="K105" s="56">
        <v>58.5</v>
      </c>
      <c r="L105" s="56">
        <v>0</v>
      </c>
      <c r="M105" s="56">
        <v>5</v>
      </c>
      <c r="N105" s="56">
        <v>180</v>
      </c>
      <c r="O105" s="56">
        <v>5</v>
      </c>
      <c r="P105" s="56">
        <v>5</v>
      </c>
      <c r="Q105" s="56">
        <v>0</v>
      </c>
      <c r="R105" s="56">
        <v>1143931671.76</v>
      </c>
      <c r="S105" s="56">
        <v>165</v>
      </c>
      <c r="T105" s="56">
        <v>123633464</v>
      </c>
      <c r="U105" s="56">
        <v>0</v>
      </c>
      <c r="V105" s="56">
        <v>0</v>
      </c>
      <c r="W105" s="56">
        <v>9409950.869999999</v>
      </c>
      <c r="X105" s="56">
        <v>162172114.05</v>
      </c>
      <c r="Y105" s="55" t="s">
        <v>272</v>
      </c>
    </row>
    <row r="106" spans="1:25">
      <c r="A106" s="55" t="s">
        <v>650</v>
      </c>
      <c r="B106" s="56">
        <v>49</v>
      </c>
      <c r="C106" s="56">
        <v>0</v>
      </c>
      <c r="D106" s="56">
        <v>2</v>
      </c>
      <c r="F106" s="56">
        <v>819073.3636</v>
      </c>
      <c r="G106" s="56">
        <v>8040646.550000001</v>
      </c>
      <c r="H106" s="56">
        <v>0</v>
      </c>
      <c r="I106" s="56">
        <v>1136272.40141</v>
      </c>
      <c r="J106" s="56">
        <v>0</v>
      </c>
      <c r="K106" s="56">
        <v>1.75</v>
      </c>
      <c r="L106" s="56">
        <v>187</v>
      </c>
      <c r="M106" s="56">
        <v>5</v>
      </c>
      <c r="N106" s="56">
        <v>422</v>
      </c>
      <c r="O106" s="56">
        <v>5</v>
      </c>
      <c r="P106" s="56">
        <v>5</v>
      </c>
      <c r="Q106" s="56">
        <v>8803646.550000001</v>
      </c>
      <c r="R106" s="56">
        <v>29339527.42</v>
      </c>
      <c r="S106" s="56">
        <v>168</v>
      </c>
      <c r="T106" s="56">
        <v>8803646.550000001</v>
      </c>
      <c r="U106" s="56">
        <v>0</v>
      </c>
      <c r="V106" s="56">
        <v>0</v>
      </c>
      <c r="W106" s="56">
        <v>1136272.4</v>
      </c>
      <c r="X106" s="56">
        <v>8040646.55</v>
      </c>
      <c r="Y106" s="55" t="s">
        <v>546</v>
      </c>
    </row>
    <row r="107" spans="1:25">
      <c r="A107" s="55" t="s">
        <v>651</v>
      </c>
      <c r="B107" s="56">
        <v>145</v>
      </c>
      <c r="C107" s="56">
        <v>0</v>
      </c>
      <c r="D107" s="56">
        <v>0</v>
      </c>
      <c r="E107" s="56">
        <v>14900000</v>
      </c>
      <c r="F107" s="56">
        <v>2458569.635</v>
      </c>
      <c r="G107" s="56">
        <v>64997235.91</v>
      </c>
      <c r="H107" s="56">
        <v>22350000</v>
      </c>
      <c r="I107" s="56">
        <v>2594850.9706</v>
      </c>
      <c r="J107" s="56">
        <v>15548361.13</v>
      </c>
      <c r="K107" s="56">
        <v>28.5</v>
      </c>
      <c r="L107" s="56">
        <v>0</v>
      </c>
      <c r="M107" s="56">
        <v>1</v>
      </c>
      <c r="N107" s="56">
        <v>0</v>
      </c>
      <c r="O107" s="56">
        <v>1</v>
      </c>
      <c r="P107" s="56">
        <v>1</v>
      </c>
      <c r="Q107" s="56">
        <v>80691697.14</v>
      </c>
      <c r="R107" s="56">
        <v>229917291.43</v>
      </c>
      <c r="S107" s="56">
        <v>84</v>
      </c>
      <c r="T107" s="56">
        <v>80691697.14</v>
      </c>
      <c r="U107" s="56">
        <v>0</v>
      </c>
      <c r="V107" s="56">
        <v>0</v>
      </c>
      <c r="W107" s="56">
        <v>3387507.08</v>
      </c>
      <c r="X107" s="56">
        <v>87347235.91</v>
      </c>
      <c r="Y107" s="55" t="s">
        <v>272</v>
      </c>
    </row>
    <row r="108" spans="1:25">
      <c r="A108" s="55" t="s">
        <v>652</v>
      </c>
      <c r="B108" s="56">
        <v>6</v>
      </c>
      <c r="C108" s="56">
        <v>0</v>
      </c>
      <c r="D108" s="56">
        <v>0</v>
      </c>
      <c r="E108" s="56">
        <v>223500000</v>
      </c>
      <c r="F108" s="56">
        <v>3023212.958</v>
      </c>
      <c r="G108" s="56">
        <v>0</v>
      </c>
      <c r="H108" s="56">
        <v>335250000</v>
      </c>
      <c r="I108" s="56">
        <v>0</v>
      </c>
      <c r="J108" s="56">
        <v>25717772.66</v>
      </c>
      <c r="K108" s="56">
        <v>74</v>
      </c>
      <c r="M108" s="56">
        <v>1</v>
      </c>
      <c r="N108" s="56">
        <v>0</v>
      </c>
      <c r="O108" s="56">
        <v>1</v>
      </c>
      <c r="P108" s="56">
        <v>1</v>
      </c>
      <c r="Q108" s="56">
        <v>25717772.66</v>
      </c>
      <c r="R108" s="56">
        <v>404982000</v>
      </c>
      <c r="S108" s="56">
        <v>144</v>
      </c>
      <c r="T108" s="56">
        <v>25717772.66</v>
      </c>
      <c r="U108" s="56">
        <v>0</v>
      </c>
      <c r="V108" s="56">
        <v>0</v>
      </c>
      <c r="W108" s="56">
        <v>1285888.63</v>
      </c>
      <c r="X108" s="56">
        <v>335250000</v>
      </c>
      <c r="Y108" s="55" t="s">
        <v>272</v>
      </c>
    </row>
    <row r="109" spans="1:25">
      <c r="A109" s="55" t="s">
        <v>653</v>
      </c>
      <c r="B109" s="56">
        <v>4</v>
      </c>
      <c r="C109" s="56">
        <v>0</v>
      </c>
      <c r="D109" s="56">
        <v>0</v>
      </c>
      <c r="E109" s="56">
        <v>55130000</v>
      </c>
      <c r="F109" s="56">
        <v>5593898.978</v>
      </c>
      <c r="G109" s="56">
        <v>0</v>
      </c>
      <c r="H109" s="56">
        <v>64070000</v>
      </c>
      <c r="I109" s="56">
        <v>0</v>
      </c>
      <c r="J109" s="56">
        <v>14092795.78</v>
      </c>
      <c r="K109" s="56">
        <v>39.33</v>
      </c>
      <c r="N109" s="56">
        <v>0</v>
      </c>
      <c r="O109" s="56">
        <v>1</v>
      </c>
      <c r="P109" s="56">
        <v>1</v>
      </c>
      <c r="Q109" s="56">
        <v>14092795.78</v>
      </c>
      <c r="R109" s="56">
        <v>352287367.8</v>
      </c>
      <c r="S109" s="56">
        <v>47</v>
      </c>
      <c r="T109" s="56">
        <v>278622784.58</v>
      </c>
      <c r="U109" s="56">
        <v>0</v>
      </c>
      <c r="V109" s="56">
        <v>0</v>
      </c>
      <c r="W109" s="56">
        <v>6298538.77</v>
      </c>
      <c r="X109" s="56">
        <v>64070000</v>
      </c>
      <c r="Y109" s="55" t="s">
        <v>272</v>
      </c>
    </row>
    <row r="110" spans="1:25">
      <c r="A110" s="55" t="s">
        <v>654</v>
      </c>
      <c r="B110" s="56">
        <v>10</v>
      </c>
      <c r="C110" s="56">
        <v>0</v>
      </c>
      <c r="D110" s="56">
        <v>0</v>
      </c>
      <c r="E110" s="56">
        <v>545340000</v>
      </c>
      <c r="F110" s="56">
        <v>14616048.41</v>
      </c>
      <c r="G110" s="56">
        <v>0</v>
      </c>
      <c r="H110" s="56">
        <v>1361860000</v>
      </c>
      <c r="I110" s="56">
        <v>0</v>
      </c>
      <c r="J110" s="56">
        <v>26080542.88</v>
      </c>
      <c r="K110" s="56">
        <v>127</v>
      </c>
      <c r="M110" s="56">
        <v>1</v>
      </c>
      <c r="N110" s="56">
        <v>0</v>
      </c>
      <c r="O110" s="56">
        <v>2</v>
      </c>
      <c r="P110" s="56">
        <v>2</v>
      </c>
      <c r="Q110" s="56">
        <v>26080542.88</v>
      </c>
      <c r="R110" s="56">
        <v>1734360000</v>
      </c>
      <c r="S110" s="56">
        <v>250</v>
      </c>
      <c r="T110" s="56">
        <v>26080542.88</v>
      </c>
      <c r="U110" s="56">
        <v>1</v>
      </c>
      <c r="V110" s="56">
        <v>0</v>
      </c>
      <c r="W110" s="56">
        <v>1304027.14</v>
      </c>
      <c r="X110" s="56">
        <v>1361860000</v>
      </c>
      <c r="Y110" s="55" t="s">
        <v>272</v>
      </c>
    </row>
    <row r="111" spans="1:25">
      <c r="A111" s="55" t="s">
        <v>655</v>
      </c>
      <c r="B111" s="56">
        <v>19</v>
      </c>
      <c r="C111" s="56">
        <v>0</v>
      </c>
      <c r="D111" s="56">
        <v>0</v>
      </c>
      <c r="E111" s="56">
        <v>274160000</v>
      </c>
      <c r="F111" s="56">
        <v>65378307.79</v>
      </c>
      <c r="G111" s="56">
        <v>0</v>
      </c>
      <c r="H111" s="56">
        <v>683463000</v>
      </c>
      <c r="I111" s="56">
        <v>3244803.03</v>
      </c>
      <c r="J111" s="56">
        <v>421996279.41</v>
      </c>
      <c r="K111" s="56">
        <v>92.22</v>
      </c>
      <c r="M111" s="56">
        <v>1</v>
      </c>
      <c r="N111" s="56">
        <v>9</v>
      </c>
      <c r="O111" s="56">
        <v>2</v>
      </c>
      <c r="P111" s="56">
        <v>2</v>
      </c>
      <c r="Q111" s="56">
        <v>421996279.41</v>
      </c>
      <c r="R111" s="56">
        <v>5095352876.1</v>
      </c>
      <c r="S111" s="56">
        <v>153</v>
      </c>
      <c r="T111" s="56">
        <v>3219635699.31</v>
      </c>
      <c r="U111" s="56">
        <v>1</v>
      </c>
      <c r="V111" s="56">
        <v>0</v>
      </c>
      <c r="W111" s="56">
        <v>99730255.52</v>
      </c>
      <c r="X111" s="56">
        <v>683463000</v>
      </c>
      <c r="Y111" s="55" t="s">
        <v>272</v>
      </c>
    </row>
    <row r="112" spans="1:25">
      <c r="A112" s="55" t="s">
        <v>656</v>
      </c>
      <c r="B112" s="56">
        <v>51</v>
      </c>
      <c r="C112" s="56">
        <v>0</v>
      </c>
      <c r="D112" s="56">
        <v>0</v>
      </c>
      <c r="E112" s="56">
        <v>310218000</v>
      </c>
      <c r="F112" s="56">
        <v>22679995.75</v>
      </c>
      <c r="G112" s="56">
        <v>9995892.279999999</v>
      </c>
      <c r="H112" s="56">
        <v>453258000</v>
      </c>
      <c r="I112" s="56">
        <v>5719179.497</v>
      </c>
      <c r="J112" s="56">
        <v>112965759.42</v>
      </c>
      <c r="K112" s="56">
        <v>56.92</v>
      </c>
      <c r="L112" s="56">
        <v>11</v>
      </c>
      <c r="M112" s="56">
        <v>1</v>
      </c>
      <c r="N112" s="56">
        <v>0</v>
      </c>
      <c r="O112" s="56">
        <v>1</v>
      </c>
      <c r="P112" s="56">
        <v>2</v>
      </c>
      <c r="Q112" s="56">
        <v>122961651.7</v>
      </c>
      <c r="R112" s="56">
        <v>8132190572.54</v>
      </c>
      <c r="S112" s="56">
        <v>236</v>
      </c>
      <c r="T112" s="56">
        <v>2815041609.41</v>
      </c>
      <c r="U112" s="56">
        <v>1</v>
      </c>
      <c r="V112" s="56">
        <v>0</v>
      </c>
      <c r="W112" s="56">
        <v>84140882.33</v>
      </c>
      <c r="X112" s="56">
        <v>463253892.28</v>
      </c>
      <c r="Y112" s="55" t="s">
        <v>272</v>
      </c>
    </row>
    <row r="113" spans="1:25">
      <c r="A113" s="55" t="s">
        <v>657</v>
      </c>
      <c r="B113" s="56">
        <v>11</v>
      </c>
      <c r="C113" s="56">
        <v>0</v>
      </c>
      <c r="D113" s="56">
        <v>0</v>
      </c>
      <c r="E113" s="56">
        <v>32780000</v>
      </c>
      <c r="F113" s="56">
        <v>12364555.07</v>
      </c>
      <c r="G113" s="56">
        <v>0</v>
      </c>
      <c r="H113" s="56">
        <v>80460000</v>
      </c>
      <c r="I113" s="56">
        <v>0</v>
      </c>
      <c r="J113" s="56">
        <v>29479371.45</v>
      </c>
      <c r="K113" s="56">
        <v>52.75</v>
      </c>
      <c r="L113" s="56">
        <v>0</v>
      </c>
      <c r="N113" s="56">
        <v>0</v>
      </c>
      <c r="O113" s="56">
        <v>1</v>
      </c>
      <c r="P113" s="56">
        <v>1</v>
      </c>
      <c r="Q113" s="56">
        <v>29479371.45</v>
      </c>
      <c r="R113" s="56">
        <v>1452525227.5</v>
      </c>
      <c r="S113" s="56">
        <v>215</v>
      </c>
      <c r="T113" s="56">
        <v>717399798.55</v>
      </c>
      <c r="U113" s="56">
        <v>0</v>
      </c>
      <c r="V113" s="56">
        <v>0</v>
      </c>
      <c r="W113" s="56">
        <v>35006939.94</v>
      </c>
      <c r="X113" s="56">
        <v>80460000</v>
      </c>
      <c r="Y113" s="55" t="s">
        <v>272</v>
      </c>
    </row>
    <row r="114" spans="1:25">
      <c r="A114" s="55" t="s">
        <v>658</v>
      </c>
      <c r="B114" s="56">
        <v>10</v>
      </c>
      <c r="C114" s="56">
        <v>0</v>
      </c>
      <c r="D114" s="56">
        <v>0</v>
      </c>
      <c r="E114" s="56">
        <v>17880000</v>
      </c>
      <c r="F114" s="56">
        <v>392180.5267</v>
      </c>
      <c r="G114" s="56">
        <v>0</v>
      </c>
      <c r="H114" s="56">
        <v>17880000</v>
      </c>
      <c r="I114" s="56">
        <v>0</v>
      </c>
      <c r="J114" s="56">
        <v>666759.8199999999</v>
      </c>
      <c r="K114" s="56">
        <v>32</v>
      </c>
      <c r="L114" s="56">
        <v>0</v>
      </c>
      <c r="M114" s="56">
        <v>1</v>
      </c>
      <c r="N114" s="56">
        <v>0</v>
      </c>
      <c r="O114" s="56">
        <v>1</v>
      </c>
      <c r="P114" s="56">
        <v>1</v>
      </c>
      <c r="Q114" s="56">
        <v>666759.8199999999</v>
      </c>
      <c r="R114" s="56">
        <v>18438303</v>
      </c>
      <c r="S114" s="56">
        <v>68</v>
      </c>
      <c r="T114" s="56">
        <v>666759.8199999999</v>
      </c>
      <c r="U114" s="56">
        <v>0</v>
      </c>
      <c r="V114" s="56">
        <v>0</v>
      </c>
      <c r="W114" s="56">
        <v>33337.99</v>
      </c>
      <c r="X114" s="56">
        <v>17880000</v>
      </c>
      <c r="Y114" s="55" t="s">
        <v>272</v>
      </c>
    </row>
    <row r="115" spans="1:25">
      <c r="A115" s="55" t="s">
        <v>659</v>
      </c>
      <c r="B115" s="56">
        <v>4</v>
      </c>
      <c r="C115" s="56">
        <v>0</v>
      </c>
      <c r="D115" s="56">
        <v>0</v>
      </c>
      <c r="E115" s="56">
        <v>237178200</v>
      </c>
      <c r="F115" s="56">
        <v>6416467.183</v>
      </c>
      <c r="G115" s="56">
        <v>0</v>
      </c>
      <c r="H115" s="56">
        <v>535178200</v>
      </c>
      <c r="I115" s="56">
        <v>0</v>
      </c>
      <c r="J115" s="56">
        <v>98654243.14</v>
      </c>
      <c r="K115" s="56">
        <v>55</v>
      </c>
      <c r="N115" s="56">
        <v>0</v>
      </c>
      <c r="O115" s="56">
        <v>1</v>
      </c>
      <c r="P115" s="56">
        <v>1</v>
      </c>
      <c r="Q115" s="56">
        <v>98654243.14</v>
      </c>
      <c r="R115" s="56">
        <v>535178200</v>
      </c>
      <c r="S115" s="56">
        <v>135</v>
      </c>
      <c r="T115" s="56">
        <v>98654243.14</v>
      </c>
      <c r="U115" s="56">
        <v>0</v>
      </c>
      <c r="V115" s="56">
        <v>0</v>
      </c>
      <c r="W115" s="56">
        <v>4932712.16</v>
      </c>
      <c r="X115" s="56">
        <v>535178200</v>
      </c>
      <c r="Y115" s="55" t="s">
        <v>272</v>
      </c>
    </row>
    <row r="116" spans="1:25">
      <c r="A116" s="55" t="s">
        <v>660</v>
      </c>
      <c r="B116" s="56">
        <v>7</v>
      </c>
      <c r="C116" s="56">
        <v>0</v>
      </c>
      <c r="D116" s="56">
        <v>0</v>
      </c>
      <c r="E116" s="56">
        <v>44700000</v>
      </c>
      <c r="F116" s="56">
        <v>1209285.183</v>
      </c>
      <c r="G116" s="56">
        <v>0</v>
      </c>
      <c r="H116" s="56">
        <v>144530000</v>
      </c>
      <c r="I116" s="56">
        <v>0</v>
      </c>
      <c r="J116" s="56">
        <v>4223720.4</v>
      </c>
      <c r="K116" s="56">
        <v>35</v>
      </c>
      <c r="N116" s="56">
        <v>0</v>
      </c>
      <c r="O116" s="56">
        <v>2</v>
      </c>
      <c r="P116" s="56">
        <v>2</v>
      </c>
      <c r="Q116" s="56">
        <v>4223720.4</v>
      </c>
      <c r="R116" s="56">
        <v>553660519.1</v>
      </c>
      <c r="S116" s="56">
        <v>113</v>
      </c>
      <c r="T116" s="56">
        <v>4223720.4</v>
      </c>
      <c r="U116" s="56">
        <v>0</v>
      </c>
      <c r="V116" s="56">
        <v>0</v>
      </c>
      <c r="W116" s="56">
        <v>211186.02</v>
      </c>
      <c r="X116" s="56">
        <v>144530000</v>
      </c>
      <c r="Y116" s="55" t="s">
        <v>272</v>
      </c>
    </row>
    <row r="117" spans="1:25">
      <c r="A117" s="55" t="s">
        <v>661</v>
      </c>
      <c r="B117" s="56">
        <v>34</v>
      </c>
      <c r="C117" s="56">
        <v>0</v>
      </c>
      <c r="D117" s="56">
        <v>0</v>
      </c>
      <c r="E117" s="56">
        <v>207110000</v>
      </c>
      <c r="F117" s="56">
        <v>2992886.288</v>
      </c>
      <c r="G117" s="56">
        <v>0</v>
      </c>
      <c r="H117" s="56">
        <v>207110000</v>
      </c>
      <c r="I117" s="56">
        <v>0</v>
      </c>
      <c r="J117" s="56">
        <v>40558994.56</v>
      </c>
      <c r="K117" s="56">
        <v>156</v>
      </c>
      <c r="M117" s="56">
        <v>5</v>
      </c>
      <c r="N117" s="56">
        <v>0</v>
      </c>
      <c r="O117" s="56">
        <v>1</v>
      </c>
      <c r="P117" s="56">
        <v>5</v>
      </c>
      <c r="Q117" s="56">
        <v>40558994.56</v>
      </c>
      <c r="R117" s="56">
        <v>1162241720</v>
      </c>
      <c r="S117" s="56">
        <v>164</v>
      </c>
      <c r="T117" s="56">
        <v>40558994.56</v>
      </c>
      <c r="U117" s="56">
        <v>0</v>
      </c>
      <c r="V117" s="56">
        <v>0</v>
      </c>
      <c r="W117" s="56">
        <v>2027949.73</v>
      </c>
      <c r="X117" s="56">
        <v>207110000</v>
      </c>
      <c r="Y117" s="55" t="s">
        <v>272</v>
      </c>
    </row>
    <row r="118" spans="1:25">
      <c r="A118" s="55" t="s">
        <v>662</v>
      </c>
      <c r="B118" s="56">
        <v>2</v>
      </c>
      <c r="C118" s="56">
        <v>0</v>
      </c>
      <c r="D118" s="56">
        <v>0</v>
      </c>
      <c r="F118" s="56">
        <v>11336693.01</v>
      </c>
      <c r="G118" s="56">
        <v>0</v>
      </c>
      <c r="H118" s="56">
        <v>0</v>
      </c>
      <c r="I118" s="56">
        <v>0</v>
      </c>
      <c r="J118" s="56">
        <v>0</v>
      </c>
      <c r="K118" s="56">
        <v>7</v>
      </c>
      <c r="N118" s="56">
        <v>0</v>
      </c>
      <c r="O118" s="56">
        <v>1</v>
      </c>
      <c r="P118" s="56">
        <v>1</v>
      </c>
      <c r="Q118" s="56">
        <v>0</v>
      </c>
      <c r="R118" s="56">
        <v>1664291320</v>
      </c>
      <c r="S118" s="56">
        <v>85</v>
      </c>
      <c r="T118" s="56">
        <v>920005732.8</v>
      </c>
      <c r="U118" s="56">
        <v>0</v>
      </c>
      <c r="V118" s="56">
        <v>0</v>
      </c>
      <c r="W118" s="56">
        <v>11336693.01</v>
      </c>
      <c r="X118" s="56">
        <v>0</v>
      </c>
      <c r="Y118" s="55" t="s">
        <v>272</v>
      </c>
    </row>
    <row r="119" spans="1:25">
      <c r="A119" s="55" t="s">
        <v>663</v>
      </c>
      <c r="B119" s="56">
        <v>14</v>
      </c>
      <c r="C119" s="56">
        <v>0</v>
      </c>
      <c r="D119" s="56">
        <v>0</v>
      </c>
      <c r="F119" s="56">
        <v>1153776.877</v>
      </c>
      <c r="G119" s="56">
        <v>6532831.25</v>
      </c>
      <c r="H119" s="56">
        <v>0</v>
      </c>
      <c r="I119" s="56">
        <v>1492025.4166</v>
      </c>
      <c r="J119" s="56">
        <v>0</v>
      </c>
      <c r="K119" s="56">
        <v>3.5</v>
      </c>
      <c r="L119" s="56">
        <v>0</v>
      </c>
      <c r="M119" s="56">
        <v>1</v>
      </c>
      <c r="N119" s="56">
        <v>0</v>
      </c>
      <c r="O119" s="56">
        <v>1</v>
      </c>
      <c r="P119" s="56">
        <v>1</v>
      </c>
      <c r="Q119" s="56">
        <v>6532831.25</v>
      </c>
      <c r="R119" s="56">
        <v>17553777.91</v>
      </c>
      <c r="S119" s="56">
        <v>26</v>
      </c>
      <c r="T119" s="56">
        <v>6532831.25</v>
      </c>
      <c r="U119" s="56">
        <v>0</v>
      </c>
      <c r="V119" s="56">
        <v>0</v>
      </c>
      <c r="W119" s="56">
        <v>1492025.42</v>
      </c>
      <c r="X119" s="56">
        <v>6532831.25</v>
      </c>
      <c r="Y119" s="55" t="s">
        <v>272</v>
      </c>
    </row>
    <row r="120" spans="1:25">
      <c r="A120" s="55" t="s">
        <v>664</v>
      </c>
      <c r="B120" s="56">
        <v>9</v>
      </c>
      <c r="C120" s="56">
        <v>3</v>
      </c>
      <c r="D120" s="56">
        <v>3</v>
      </c>
      <c r="E120" s="56">
        <v>46935000</v>
      </c>
      <c r="F120" s="56">
        <v>1453374.893</v>
      </c>
      <c r="G120" s="56">
        <v>0</v>
      </c>
      <c r="H120" s="56">
        <v>149745000</v>
      </c>
      <c r="I120" s="56">
        <v>0</v>
      </c>
      <c r="J120" s="56">
        <v>124897142.96</v>
      </c>
      <c r="K120" s="56">
        <v>86</v>
      </c>
      <c r="L120" s="56">
        <v>195</v>
      </c>
      <c r="N120" s="56">
        <v>181</v>
      </c>
      <c r="O120" s="56">
        <v>5</v>
      </c>
      <c r="P120" s="56">
        <v>5</v>
      </c>
      <c r="Q120" s="56">
        <v>257103826.18</v>
      </c>
      <c r="R120" s="56">
        <v>425791354.9</v>
      </c>
      <c r="S120" s="56">
        <v>131</v>
      </c>
      <c r="T120" s="56">
        <v>257103826.18</v>
      </c>
      <c r="U120" s="56">
        <v>1</v>
      </c>
      <c r="V120" s="56">
        <v>3</v>
      </c>
      <c r="W120" s="56">
        <v>6244857.15</v>
      </c>
      <c r="X120" s="56">
        <v>149745000</v>
      </c>
      <c r="Y120" s="55" t="s">
        <v>546</v>
      </c>
    </row>
    <row r="121" spans="1:25">
      <c r="A121" s="55" t="s">
        <v>665</v>
      </c>
      <c r="B121" s="56">
        <v>29</v>
      </c>
      <c r="C121" s="56">
        <v>0</v>
      </c>
      <c r="D121" s="56">
        <v>0</v>
      </c>
      <c r="F121" s="56">
        <v>205323.2145</v>
      </c>
      <c r="G121" s="56">
        <v>0</v>
      </c>
      <c r="H121" s="56">
        <v>0</v>
      </c>
      <c r="I121" s="56">
        <v>0</v>
      </c>
      <c r="J121" s="56">
        <v>0</v>
      </c>
      <c r="K121" s="56">
        <v>3</v>
      </c>
      <c r="L121" s="56">
        <v>0</v>
      </c>
      <c r="M121" s="56">
        <v>1</v>
      </c>
      <c r="N121" s="56">
        <v>0</v>
      </c>
      <c r="O121" s="56">
        <v>1</v>
      </c>
      <c r="P121" s="56">
        <v>1</v>
      </c>
      <c r="Q121" s="56">
        <v>9105650.880000001</v>
      </c>
      <c r="R121" s="56">
        <v>9712042.01</v>
      </c>
      <c r="S121" s="56">
        <v>21</v>
      </c>
      <c r="T121" s="56">
        <v>9105650.880000001</v>
      </c>
      <c r="U121" s="56">
        <v>0</v>
      </c>
      <c r="V121" s="56">
        <v>0</v>
      </c>
      <c r="W121" s="56">
        <v>228008.26</v>
      </c>
      <c r="X121" s="56">
        <v>0</v>
      </c>
      <c r="Y121" s="55" t="s">
        <v>272</v>
      </c>
    </row>
    <row r="122" spans="1:25">
      <c r="A122" s="55" t="s">
        <v>666</v>
      </c>
      <c r="B122" s="56">
        <v>11</v>
      </c>
      <c r="C122" s="56">
        <v>0</v>
      </c>
      <c r="D122" s="56">
        <v>0</v>
      </c>
      <c r="E122" s="56">
        <v>44700000</v>
      </c>
      <c r="F122" s="56">
        <v>1048047.159</v>
      </c>
      <c r="G122" s="56">
        <v>0</v>
      </c>
      <c r="H122" s="56">
        <v>207110000</v>
      </c>
      <c r="I122" s="56">
        <v>0</v>
      </c>
      <c r="J122" s="56">
        <v>11716250.3</v>
      </c>
      <c r="K122" s="56">
        <v>58.78</v>
      </c>
      <c r="L122" s="56">
        <v>0</v>
      </c>
      <c r="M122" s="56">
        <v>1</v>
      </c>
      <c r="N122" s="56">
        <v>0</v>
      </c>
      <c r="O122" s="56">
        <v>1</v>
      </c>
      <c r="P122" s="56">
        <v>1</v>
      </c>
      <c r="Q122" s="56">
        <v>11716250.3</v>
      </c>
      <c r="R122" s="56">
        <v>242870000</v>
      </c>
      <c r="S122" s="56">
        <v>151</v>
      </c>
      <c r="T122" s="56">
        <v>11716250.3</v>
      </c>
      <c r="U122" s="56">
        <v>0</v>
      </c>
      <c r="V122" s="56">
        <v>0</v>
      </c>
      <c r="W122" s="56">
        <v>585812.52</v>
      </c>
      <c r="X122" s="56">
        <v>207110000</v>
      </c>
      <c r="Y122" s="55" t="s">
        <v>272</v>
      </c>
    </row>
    <row r="123" spans="1:25">
      <c r="A123" s="55" t="s">
        <v>667</v>
      </c>
      <c r="B123" s="56">
        <v>1</v>
      </c>
      <c r="C123" s="56">
        <v>0</v>
      </c>
      <c r="D123" s="56">
        <v>0</v>
      </c>
      <c r="E123" s="56">
        <v>29800000</v>
      </c>
      <c r="F123" s="56">
        <v>656481.9556</v>
      </c>
      <c r="G123" s="56">
        <v>0</v>
      </c>
      <c r="H123" s="56">
        <v>29800000</v>
      </c>
      <c r="I123" s="56">
        <v>0</v>
      </c>
      <c r="J123" s="56">
        <v>7930821</v>
      </c>
      <c r="K123" s="56">
        <v>8</v>
      </c>
      <c r="N123" s="56">
        <v>0</v>
      </c>
      <c r="O123" s="56">
        <v>1</v>
      </c>
      <c r="P123" s="56">
        <v>1</v>
      </c>
      <c r="Q123" s="56">
        <v>7930821</v>
      </c>
      <c r="R123" s="56">
        <v>29800000</v>
      </c>
      <c r="S123" s="56">
        <v>8</v>
      </c>
      <c r="T123" s="56">
        <v>7930821</v>
      </c>
      <c r="U123" s="56">
        <v>0</v>
      </c>
      <c r="V123" s="56">
        <v>0</v>
      </c>
      <c r="W123" s="56">
        <v>396541.05</v>
      </c>
      <c r="X123" s="56">
        <v>29800000</v>
      </c>
      <c r="Y123" s="55" t="s">
        <v>272</v>
      </c>
    </row>
    <row r="124" spans="1:25">
      <c r="A124" s="55" t="s">
        <v>668</v>
      </c>
      <c r="B124" s="56">
        <v>20</v>
      </c>
      <c r="C124" s="56">
        <v>0</v>
      </c>
      <c r="D124" s="56">
        <v>0</v>
      </c>
      <c r="E124" s="56">
        <v>230950000</v>
      </c>
      <c r="F124" s="56">
        <v>6247973.447</v>
      </c>
      <c r="G124" s="56">
        <v>0</v>
      </c>
      <c r="H124" s="56">
        <v>451470000</v>
      </c>
      <c r="I124" s="56">
        <v>0</v>
      </c>
      <c r="J124" s="56">
        <v>24305380.72</v>
      </c>
      <c r="K124" s="56">
        <v>64.67</v>
      </c>
      <c r="L124" s="56">
        <v>0</v>
      </c>
      <c r="M124" s="56">
        <v>2</v>
      </c>
      <c r="N124" s="56">
        <v>0</v>
      </c>
      <c r="O124" s="56">
        <v>2</v>
      </c>
      <c r="P124" s="56">
        <v>2</v>
      </c>
      <c r="Q124" s="56">
        <v>24305380.72</v>
      </c>
      <c r="R124" s="56">
        <v>780760000</v>
      </c>
      <c r="S124" s="56">
        <v>144</v>
      </c>
      <c r="T124" s="56">
        <v>24305380.72</v>
      </c>
      <c r="U124" s="56">
        <v>1</v>
      </c>
      <c r="V124" s="56">
        <v>0</v>
      </c>
      <c r="W124" s="56">
        <v>1215269.04</v>
      </c>
      <c r="X124" s="56">
        <v>451470000</v>
      </c>
      <c r="Y124" s="55" t="s">
        <v>272</v>
      </c>
    </row>
    <row r="125" spans="1:25">
      <c r="A125" s="55" t="s">
        <v>669</v>
      </c>
      <c r="B125" s="56">
        <v>4</v>
      </c>
      <c r="C125" s="56">
        <v>0</v>
      </c>
      <c r="D125" s="56">
        <v>0</v>
      </c>
      <c r="E125" s="56">
        <v>74500000</v>
      </c>
      <c r="F125" s="56">
        <v>1608170.957</v>
      </c>
      <c r="G125" s="56">
        <v>0</v>
      </c>
      <c r="H125" s="56">
        <v>74500000</v>
      </c>
      <c r="I125" s="56">
        <v>0</v>
      </c>
      <c r="J125" s="56">
        <v>14147299.68</v>
      </c>
      <c r="K125" s="56">
        <v>77</v>
      </c>
      <c r="N125" s="56">
        <v>0</v>
      </c>
      <c r="O125" s="56">
        <v>1</v>
      </c>
      <c r="P125" s="56">
        <v>1</v>
      </c>
      <c r="Q125" s="56">
        <v>14147299.68</v>
      </c>
      <c r="R125" s="56">
        <v>111750000</v>
      </c>
      <c r="S125" s="56">
        <v>186</v>
      </c>
      <c r="T125" s="56">
        <v>14147299.68</v>
      </c>
      <c r="U125" s="56">
        <v>0</v>
      </c>
      <c r="V125" s="56">
        <v>0</v>
      </c>
      <c r="W125" s="56">
        <v>707364.98</v>
      </c>
      <c r="X125" s="56">
        <v>74500000</v>
      </c>
      <c r="Y125" s="55" t="s">
        <v>272</v>
      </c>
    </row>
    <row r="126" spans="1:25">
      <c r="A126" s="55" t="s">
        <v>670</v>
      </c>
      <c r="B126" s="56">
        <v>3</v>
      </c>
      <c r="C126" s="56">
        <v>0</v>
      </c>
      <c r="D126" s="56">
        <v>0</v>
      </c>
      <c r="E126" s="56">
        <v>71520000</v>
      </c>
      <c r="F126" s="56">
        <v>1754814.466</v>
      </c>
      <c r="G126" s="56">
        <v>0</v>
      </c>
      <c r="H126" s="56">
        <v>123670000</v>
      </c>
      <c r="I126" s="56">
        <v>0</v>
      </c>
      <c r="J126" s="56">
        <v>8058461.04</v>
      </c>
      <c r="K126" s="56">
        <v>116</v>
      </c>
      <c r="N126" s="56">
        <v>0</v>
      </c>
      <c r="O126" s="56">
        <v>1</v>
      </c>
      <c r="P126" s="56">
        <v>1</v>
      </c>
      <c r="Q126" s="56">
        <v>8058461.04</v>
      </c>
      <c r="R126" s="56">
        <v>123670000</v>
      </c>
      <c r="S126" s="56">
        <v>152</v>
      </c>
      <c r="T126" s="56">
        <v>8058461.04</v>
      </c>
      <c r="U126" s="56">
        <v>0</v>
      </c>
      <c r="V126" s="56">
        <v>0</v>
      </c>
      <c r="W126" s="56">
        <v>402923.05</v>
      </c>
      <c r="X126" s="56">
        <v>123670000</v>
      </c>
      <c r="Y126" s="55" t="s">
        <v>272</v>
      </c>
    </row>
    <row r="127" spans="1:25">
      <c r="A127" s="55" t="s">
        <v>671</v>
      </c>
      <c r="B127" s="56">
        <v>7</v>
      </c>
      <c r="C127" s="56">
        <v>0</v>
      </c>
      <c r="D127" s="56">
        <v>0</v>
      </c>
      <c r="E127" s="56">
        <v>521500000</v>
      </c>
      <c r="F127" s="56">
        <v>11896576.02</v>
      </c>
      <c r="G127" s="56">
        <v>0</v>
      </c>
      <c r="H127" s="56">
        <v>1043894000</v>
      </c>
      <c r="I127" s="56">
        <v>0</v>
      </c>
      <c r="J127" s="56">
        <v>5151618.48</v>
      </c>
      <c r="K127" s="56">
        <v>90.67</v>
      </c>
      <c r="N127" s="56">
        <v>0</v>
      </c>
      <c r="O127" s="56">
        <v>1</v>
      </c>
      <c r="P127" s="56">
        <v>1</v>
      </c>
      <c r="Q127" s="56">
        <v>5151618.48</v>
      </c>
      <c r="R127" s="56">
        <v>1043894000</v>
      </c>
      <c r="S127" s="56">
        <v>238</v>
      </c>
      <c r="T127" s="56">
        <v>5151618.48</v>
      </c>
      <c r="U127" s="56">
        <v>0</v>
      </c>
      <c r="V127" s="56">
        <v>0</v>
      </c>
      <c r="W127" s="56">
        <v>257580.92</v>
      </c>
      <c r="X127" s="56">
        <v>1043894000</v>
      </c>
      <c r="Y127" s="55" t="s">
        <v>272</v>
      </c>
    </row>
    <row r="128" spans="1:25">
      <c r="A128" s="55" t="s">
        <v>672</v>
      </c>
      <c r="B128" s="56">
        <v>223</v>
      </c>
      <c r="C128" s="56">
        <v>0</v>
      </c>
      <c r="D128" s="56">
        <v>0</v>
      </c>
      <c r="F128" s="56">
        <v>1266904.706</v>
      </c>
      <c r="G128" s="56">
        <v>11771010.52</v>
      </c>
      <c r="H128" s="56">
        <v>0</v>
      </c>
      <c r="I128" s="56">
        <v>3798967.0125</v>
      </c>
      <c r="J128" s="56">
        <v>0</v>
      </c>
      <c r="K128" s="56">
        <v>4.43</v>
      </c>
      <c r="L128" s="56">
        <v>0</v>
      </c>
      <c r="M128" s="56">
        <v>1</v>
      </c>
      <c r="N128" s="56">
        <v>0</v>
      </c>
      <c r="O128" s="56">
        <v>1</v>
      </c>
      <c r="P128" s="56">
        <v>1</v>
      </c>
      <c r="Q128" s="56">
        <v>11771010.52</v>
      </c>
      <c r="R128" s="56">
        <v>38228509.82</v>
      </c>
      <c r="S128" s="56">
        <v>189</v>
      </c>
      <c r="T128" s="56">
        <v>11771010.52</v>
      </c>
      <c r="U128" s="56">
        <v>0</v>
      </c>
      <c r="V128" s="56">
        <v>0</v>
      </c>
      <c r="W128" s="56">
        <v>3798967.01</v>
      </c>
      <c r="X128" s="56">
        <v>11771010.52</v>
      </c>
      <c r="Y128" s="55" t="s">
        <v>272</v>
      </c>
    </row>
    <row r="129" spans="1:25">
      <c r="A129" s="55" t="s">
        <v>673</v>
      </c>
      <c r="B129" s="56">
        <v>3</v>
      </c>
      <c r="C129" s="56">
        <v>0</v>
      </c>
      <c r="D129" s="56">
        <v>0</v>
      </c>
      <c r="E129" s="56">
        <v>149000000</v>
      </c>
      <c r="F129" s="56">
        <v>2015475.306</v>
      </c>
      <c r="G129" s="56">
        <v>0</v>
      </c>
      <c r="H129" s="56">
        <v>223500000</v>
      </c>
      <c r="I129" s="56">
        <v>0</v>
      </c>
      <c r="J129" s="56">
        <v>63928693.52</v>
      </c>
      <c r="K129" s="56">
        <v>25.5</v>
      </c>
      <c r="N129" s="56">
        <v>0</v>
      </c>
      <c r="O129" s="56">
        <v>1</v>
      </c>
      <c r="P129" s="56">
        <v>1</v>
      </c>
      <c r="Q129" s="56">
        <v>63928693.52</v>
      </c>
      <c r="R129" s="56">
        <v>253300000</v>
      </c>
      <c r="S129" s="56">
        <v>115</v>
      </c>
      <c r="T129" s="56">
        <v>63928693.52</v>
      </c>
      <c r="U129" s="56">
        <v>0</v>
      </c>
      <c r="V129" s="56">
        <v>0</v>
      </c>
      <c r="W129" s="56">
        <v>3196434.68</v>
      </c>
      <c r="X129" s="56">
        <v>223500000</v>
      </c>
      <c r="Y129" s="55" t="s">
        <v>272</v>
      </c>
    </row>
    <row r="130" spans="1:25">
      <c r="A130" s="55" t="s">
        <v>674</v>
      </c>
      <c r="B130" s="56">
        <v>8</v>
      </c>
      <c r="C130" s="56">
        <v>0</v>
      </c>
      <c r="D130" s="56">
        <v>0</v>
      </c>
      <c r="E130" s="56">
        <v>327800000</v>
      </c>
      <c r="F130" s="56">
        <v>8868091.344000001</v>
      </c>
      <c r="G130" s="56">
        <v>0</v>
      </c>
      <c r="H130" s="56">
        <v>585570000</v>
      </c>
      <c r="I130" s="56">
        <v>0</v>
      </c>
      <c r="J130" s="56">
        <v>53914571.58</v>
      </c>
      <c r="K130" s="56">
        <v>90</v>
      </c>
      <c r="L130" s="56">
        <v>0</v>
      </c>
      <c r="M130" s="56">
        <v>1</v>
      </c>
      <c r="N130" s="56">
        <v>0</v>
      </c>
      <c r="O130" s="56">
        <v>1</v>
      </c>
      <c r="P130" s="56">
        <v>1</v>
      </c>
      <c r="Q130" s="56">
        <v>53914571.58</v>
      </c>
      <c r="R130" s="56">
        <v>833762604.8199999</v>
      </c>
      <c r="S130" s="56">
        <v>213</v>
      </c>
      <c r="T130" s="56">
        <v>53914571.58</v>
      </c>
      <c r="U130" s="56">
        <v>0</v>
      </c>
      <c r="V130" s="56">
        <v>0</v>
      </c>
      <c r="W130" s="56">
        <v>2695728.58</v>
      </c>
      <c r="X130" s="56">
        <v>585570000</v>
      </c>
      <c r="Y130" s="55" t="s">
        <v>272</v>
      </c>
    </row>
    <row r="131" spans="1:25">
      <c r="A131" s="55" t="s">
        <v>675</v>
      </c>
      <c r="B131" s="56">
        <v>2</v>
      </c>
      <c r="C131" s="56">
        <v>0</v>
      </c>
      <c r="D131" s="56">
        <v>0</v>
      </c>
      <c r="G131" s="56">
        <v>0</v>
      </c>
      <c r="H131" s="56">
        <v>0</v>
      </c>
      <c r="I131" s="56">
        <v>0</v>
      </c>
      <c r="J131" s="56">
        <v>0</v>
      </c>
      <c r="L131" s="56">
        <v>0</v>
      </c>
      <c r="M131" s="56">
        <v>1</v>
      </c>
      <c r="N131" s="56">
        <v>0</v>
      </c>
      <c r="O131" s="56">
        <v>1</v>
      </c>
      <c r="P131" s="56">
        <v>1</v>
      </c>
      <c r="Q131" s="56">
        <v>0</v>
      </c>
      <c r="R131" s="56">
        <v>1645024.07</v>
      </c>
      <c r="S131" s="56">
        <v>22</v>
      </c>
      <c r="T131" s="56">
        <v>0</v>
      </c>
      <c r="U131" s="56">
        <v>0</v>
      </c>
      <c r="V131" s="56">
        <v>0</v>
      </c>
      <c r="W131" s="56">
        <v>0</v>
      </c>
      <c r="X131" s="56">
        <v>0</v>
      </c>
      <c r="Y131" s="55" t="s">
        <v>272</v>
      </c>
    </row>
    <row r="132" spans="1:25">
      <c r="A132" s="55" t="s">
        <v>676</v>
      </c>
      <c r="B132" s="56">
        <v>3</v>
      </c>
      <c r="C132" s="56">
        <v>0</v>
      </c>
      <c r="D132" s="56">
        <v>0</v>
      </c>
      <c r="E132" s="56">
        <v>11920000</v>
      </c>
      <c r="F132" s="56">
        <v>7734300.049</v>
      </c>
      <c r="G132" s="56">
        <v>0</v>
      </c>
      <c r="H132" s="56">
        <v>11920000</v>
      </c>
      <c r="I132" s="56">
        <v>0</v>
      </c>
      <c r="J132" s="56">
        <v>1929838.47</v>
      </c>
      <c r="K132" s="56">
        <v>37.67</v>
      </c>
      <c r="L132" s="56">
        <v>0</v>
      </c>
      <c r="N132" s="56">
        <v>0</v>
      </c>
      <c r="O132" s="56">
        <v>1</v>
      </c>
      <c r="P132" s="56">
        <v>1</v>
      </c>
      <c r="Q132" s="56">
        <v>1929838.47</v>
      </c>
      <c r="R132" s="56">
        <v>51226328.14</v>
      </c>
      <c r="S132" s="56">
        <v>51</v>
      </c>
      <c r="T132" s="56">
        <v>34893250.89</v>
      </c>
      <c r="U132" s="56">
        <v>0</v>
      </c>
      <c r="V132" s="56">
        <v>0</v>
      </c>
      <c r="W132" s="56">
        <v>8242322.09</v>
      </c>
      <c r="X132" s="56">
        <v>11920000</v>
      </c>
      <c r="Y132" s="55" t="s">
        <v>272</v>
      </c>
    </row>
    <row r="133" spans="1:25">
      <c r="A133" s="55" t="s">
        <v>677</v>
      </c>
      <c r="B133" s="56">
        <v>15</v>
      </c>
      <c r="C133" s="56">
        <v>0</v>
      </c>
      <c r="D133" s="56">
        <v>0</v>
      </c>
      <c r="E133" s="56">
        <v>357600000</v>
      </c>
      <c r="F133" s="56">
        <v>102426106.1</v>
      </c>
      <c r="G133" s="56">
        <v>0</v>
      </c>
      <c r="H133" s="56">
        <v>442530000</v>
      </c>
      <c r="I133" s="56">
        <v>0</v>
      </c>
      <c r="J133" s="56">
        <v>393012147.4999999</v>
      </c>
      <c r="K133" s="56">
        <v>12.67</v>
      </c>
      <c r="L133" s="56">
        <v>0</v>
      </c>
      <c r="M133" s="56">
        <v>1</v>
      </c>
      <c r="N133" s="56">
        <v>0</v>
      </c>
      <c r="O133" s="56">
        <v>1</v>
      </c>
      <c r="P133" s="56">
        <v>1</v>
      </c>
      <c r="Q133" s="56">
        <v>393012147.4999999</v>
      </c>
      <c r="R133" s="56">
        <v>2121221025.32</v>
      </c>
      <c r="S133" s="56">
        <v>60</v>
      </c>
      <c r="T133" s="56">
        <v>1557431324.2</v>
      </c>
      <c r="U133" s="56">
        <v>0</v>
      </c>
      <c r="V133" s="56">
        <v>0</v>
      </c>
      <c r="W133" s="56">
        <v>155133356.7</v>
      </c>
      <c r="X133" s="56">
        <v>442530000</v>
      </c>
      <c r="Y133" s="55" t="s">
        <v>272</v>
      </c>
    </row>
    <row r="134" spans="1:25">
      <c r="A134" s="55" t="s">
        <v>678</v>
      </c>
      <c r="B134" s="56">
        <v>3</v>
      </c>
      <c r="C134" s="56">
        <v>0</v>
      </c>
      <c r="D134" s="56">
        <v>0</v>
      </c>
      <c r="E134" s="56">
        <v>29800000</v>
      </c>
      <c r="F134" s="56">
        <v>1122717.007</v>
      </c>
      <c r="G134" s="56">
        <v>0</v>
      </c>
      <c r="H134" s="56">
        <v>29800000</v>
      </c>
      <c r="I134" s="56">
        <v>0</v>
      </c>
      <c r="J134" s="56">
        <v>92718</v>
      </c>
      <c r="K134" s="56">
        <v>14</v>
      </c>
      <c r="M134" s="56">
        <v>1</v>
      </c>
      <c r="N134" s="56">
        <v>0</v>
      </c>
      <c r="O134" s="56">
        <v>1</v>
      </c>
      <c r="P134" s="56">
        <v>1</v>
      </c>
      <c r="Q134" s="56">
        <v>92718</v>
      </c>
      <c r="R134" s="56">
        <v>35478948.75</v>
      </c>
      <c r="S134" s="56">
        <v>23</v>
      </c>
      <c r="T134" s="56">
        <v>92718</v>
      </c>
      <c r="U134" s="56">
        <v>0</v>
      </c>
      <c r="V134" s="56">
        <v>0</v>
      </c>
      <c r="W134" s="56">
        <v>4635.9</v>
      </c>
      <c r="X134" s="56">
        <v>29800000</v>
      </c>
      <c r="Y134" s="55" t="s">
        <v>272</v>
      </c>
    </row>
    <row r="135" spans="1:25">
      <c r="A135" s="55" t="s">
        <v>679</v>
      </c>
      <c r="B135" s="56">
        <v>2</v>
      </c>
      <c r="C135" s="56">
        <v>0</v>
      </c>
      <c r="D135" s="56">
        <v>0</v>
      </c>
      <c r="E135" s="56">
        <v>149000000</v>
      </c>
      <c r="F135" s="56">
        <v>4030950.611</v>
      </c>
      <c r="G135" s="56">
        <v>0</v>
      </c>
      <c r="H135" s="56">
        <v>223500000</v>
      </c>
      <c r="I135" s="56">
        <v>0</v>
      </c>
      <c r="J135" s="56">
        <v>28757906.35</v>
      </c>
      <c r="K135" s="56">
        <v>26.5</v>
      </c>
      <c r="N135" s="56">
        <v>0</v>
      </c>
      <c r="O135" s="56">
        <v>1</v>
      </c>
      <c r="P135" s="56">
        <v>1</v>
      </c>
      <c r="Q135" s="56">
        <v>28757906.35</v>
      </c>
      <c r="R135" s="56">
        <v>223500000</v>
      </c>
      <c r="S135" s="56">
        <v>49</v>
      </c>
      <c r="T135" s="56">
        <v>28757906.35</v>
      </c>
      <c r="U135" s="56">
        <v>0</v>
      </c>
      <c r="V135" s="56">
        <v>0</v>
      </c>
      <c r="W135" s="56">
        <v>1437895.32</v>
      </c>
      <c r="X135" s="56">
        <v>223500000</v>
      </c>
      <c r="Y135" s="55" t="s">
        <v>272</v>
      </c>
    </row>
    <row r="136" spans="1:25">
      <c r="A136" s="55" t="s">
        <v>680</v>
      </c>
      <c r="B136" s="56">
        <v>17</v>
      </c>
      <c r="C136" s="56">
        <v>0</v>
      </c>
      <c r="D136" s="56">
        <v>0</v>
      </c>
      <c r="E136" s="56">
        <v>52150000</v>
      </c>
      <c r="F136" s="56">
        <v>1151346.274</v>
      </c>
      <c r="G136" s="56">
        <v>789149.92</v>
      </c>
      <c r="H136" s="56">
        <v>52150000</v>
      </c>
      <c r="I136" s="56">
        <v>1151346.274</v>
      </c>
      <c r="J136" s="56">
        <v>3035594.04</v>
      </c>
      <c r="K136" s="56">
        <v>79</v>
      </c>
      <c r="L136" s="56">
        <v>0</v>
      </c>
      <c r="M136" s="56">
        <v>1</v>
      </c>
      <c r="N136" s="56">
        <v>0</v>
      </c>
      <c r="O136" s="56">
        <v>1</v>
      </c>
      <c r="P136" s="56">
        <v>1</v>
      </c>
      <c r="Q136" s="56">
        <v>3824743.96</v>
      </c>
      <c r="R136" s="56">
        <v>132688371.02</v>
      </c>
      <c r="S136" s="56">
        <v>157</v>
      </c>
      <c r="T136" s="56">
        <v>3824743.96</v>
      </c>
      <c r="U136" s="56">
        <v>0</v>
      </c>
      <c r="V136" s="56">
        <v>0</v>
      </c>
      <c r="W136" s="56">
        <v>1303125.98</v>
      </c>
      <c r="X136" s="56">
        <v>52939149.92</v>
      </c>
      <c r="Y136" s="55" t="s">
        <v>272</v>
      </c>
    </row>
    <row r="137" spans="1:25">
      <c r="A137" s="55" t="s">
        <v>681</v>
      </c>
      <c r="B137" s="56">
        <v>109</v>
      </c>
      <c r="C137" s="56">
        <v>0</v>
      </c>
      <c r="D137" s="56">
        <v>0</v>
      </c>
      <c r="E137" s="56">
        <v>28310000</v>
      </c>
      <c r="F137" s="56">
        <v>1107333.252</v>
      </c>
      <c r="G137" s="56">
        <v>0</v>
      </c>
      <c r="H137" s="56">
        <v>146023288.43</v>
      </c>
      <c r="I137" s="56">
        <v>0</v>
      </c>
      <c r="J137" s="56">
        <v>64288056.7</v>
      </c>
      <c r="K137" s="56">
        <v>61.14</v>
      </c>
      <c r="L137" s="56">
        <v>0</v>
      </c>
      <c r="M137" s="56">
        <v>1</v>
      </c>
      <c r="N137" s="56">
        <v>0</v>
      </c>
      <c r="O137" s="56">
        <v>1</v>
      </c>
      <c r="P137" s="56">
        <v>1</v>
      </c>
      <c r="Q137" s="56">
        <v>64288056.7</v>
      </c>
      <c r="R137" s="56">
        <v>198694199.8800001</v>
      </c>
      <c r="S137" s="56">
        <v>160</v>
      </c>
      <c r="T137" s="56">
        <v>64288056.7</v>
      </c>
      <c r="U137" s="56">
        <v>0</v>
      </c>
      <c r="V137" s="56">
        <v>0</v>
      </c>
      <c r="W137" s="56">
        <v>3214402.84</v>
      </c>
      <c r="X137" s="56">
        <v>146023288.43</v>
      </c>
      <c r="Y137" s="55" t="s">
        <v>272</v>
      </c>
    </row>
    <row r="138" spans="1:25">
      <c r="A138" s="55" t="s">
        <v>682</v>
      </c>
      <c r="B138" s="56">
        <v>8</v>
      </c>
      <c r="C138" s="56">
        <v>0</v>
      </c>
      <c r="D138" s="56">
        <v>0</v>
      </c>
      <c r="E138" s="56">
        <v>58110000</v>
      </c>
      <c r="F138" s="56">
        <v>12756763.11</v>
      </c>
      <c r="G138" s="56">
        <v>0</v>
      </c>
      <c r="H138" s="56">
        <v>178055000</v>
      </c>
      <c r="I138" s="56">
        <v>0</v>
      </c>
      <c r="J138" s="56">
        <v>4992000</v>
      </c>
      <c r="K138" s="56">
        <v>18.6</v>
      </c>
      <c r="M138" s="56">
        <v>1</v>
      </c>
      <c r="N138" s="56">
        <v>0</v>
      </c>
      <c r="O138" s="56">
        <v>1</v>
      </c>
      <c r="P138" s="56">
        <v>1</v>
      </c>
      <c r="Q138" s="56">
        <v>4992000</v>
      </c>
      <c r="R138" s="56">
        <v>1830912000</v>
      </c>
      <c r="S138" s="56">
        <v>64</v>
      </c>
      <c r="T138" s="56">
        <v>1492136057</v>
      </c>
      <c r="U138" s="56">
        <v>0</v>
      </c>
      <c r="V138" s="56">
        <v>0</v>
      </c>
      <c r="W138" s="56">
        <v>13006363.11</v>
      </c>
      <c r="X138" s="56">
        <v>178055000</v>
      </c>
      <c r="Y138" s="55" t="s">
        <v>272</v>
      </c>
    </row>
    <row r="139" spans="1:25">
      <c r="A139" s="55" t="s">
        <v>683</v>
      </c>
      <c r="B139" s="56">
        <v>11</v>
      </c>
      <c r="C139" s="56">
        <v>0</v>
      </c>
      <c r="D139" s="56">
        <v>0</v>
      </c>
      <c r="E139" s="56">
        <v>29800000</v>
      </c>
      <c r="F139" s="56">
        <v>540345.4414</v>
      </c>
      <c r="G139" s="56">
        <v>0</v>
      </c>
      <c r="H139" s="56">
        <v>79864000</v>
      </c>
      <c r="I139" s="56">
        <v>0</v>
      </c>
      <c r="J139" s="56">
        <v>2819969.67</v>
      </c>
      <c r="K139" s="56">
        <v>54</v>
      </c>
      <c r="M139" s="56">
        <v>1</v>
      </c>
      <c r="N139" s="56">
        <v>0</v>
      </c>
      <c r="O139" s="56">
        <v>1</v>
      </c>
      <c r="P139" s="56">
        <v>1</v>
      </c>
      <c r="Q139" s="56">
        <v>2819969.67</v>
      </c>
      <c r="R139" s="56">
        <v>94764000</v>
      </c>
      <c r="S139" s="56">
        <v>80</v>
      </c>
      <c r="T139" s="56">
        <v>2819969.67</v>
      </c>
      <c r="U139" s="56">
        <v>0</v>
      </c>
      <c r="V139" s="56">
        <v>0</v>
      </c>
      <c r="W139" s="56">
        <v>140998.48</v>
      </c>
      <c r="X139" s="56">
        <v>79864000</v>
      </c>
      <c r="Y139" s="55" t="s">
        <v>272</v>
      </c>
    </row>
    <row r="140" spans="1:25">
      <c r="A140" s="55" t="s">
        <v>684</v>
      </c>
      <c r="B140" s="56">
        <v>8</v>
      </c>
      <c r="C140" s="56">
        <v>0</v>
      </c>
      <c r="D140" s="56">
        <v>0</v>
      </c>
      <c r="E140" s="56">
        <v>270435000</v>
      </c>
      <c r="F140" s="56">
        <v>27241019.71</v>
      </c>
      <c r="G140" s="56">
        <v>0</v>
      </c>
      <c r="H140" s="56">
        <v>749470000</v>
      </c>
      <c r="I140" s="56">
        <v>0</v>
      </c>
      <c r="J140" s="56">
        <v>70293182.22</v>
      </c>
      <c r="K140" s="56">
        <v>48.33</v>
      </c>
      <c r="L140" s="56">
        <v>0</v>
      </c>
      <c r="M140" s="56">
        <v>1</v>
      </c>
      <c r="N140" s="56">
        <v>0</v>
      </c>
      <c r="O140" s="56">
        <v>1</v>
      </c>
      <c r="P140" s="56">
        <v>1</v>
      </c>
      <c r="Q140" s="56">
        <v>70293182.22</v>
      </c>
      <c r="R140" s="56">
        <v>1005071156</v>
      </c>
      <c r="S140" s="56">
        <v>72</v>
      </c>
      <c r="T140" s="56">
        <v>70293182.22</v>
      </c>
      <c r="U140" s="56">
        <v>0</v>
      </c>
      <c r="V140" s="56">
        <v>0</v>
      </c>
      <c r="W140" s="56">
        <v>3514659.11</v>
      </c>
      <c r="X140" s="56">
        <v>749470000</v>
      </c>
      <c r="Y140" s="55" t="s">
        <v>272</v>
      </c>
    </row>
    <row r="141" spans="1:25">
      <c r="A141" s="55" t="s">
        <v>685</v>
      </c>
      <c r="B141" s="56">
        <v>47</v>
      </c>
      <c r="C141" s="56">
        <v>0</v>
      </c>
      <c r="D141" s="56">
        <v>0</v>
      </c>
      <c r="E141" s="56">
        <v>269690000</v>
      </c>
      <c r="F141" s="56">
        <v>7296020.606</v>
      </c>
      <c r="G141" s="56">
        <v>0</v>
      </c>
      <c r="H141" s="56">
        <v>1591320001.49</v>
      </c>
      <c r="I141" s="56">
        <v>0</v>
      </c>
      <c r="J141" s="56">
        <v>44233384.17999999</v>
      </c>
      <c r="K141" s="56">
        <v>76.64</v>
      </c>
      <c r="L141" s="56">
        <v>0</v>
      </c>
      <c r="M141" s="56">
        <v>2</v>
      </c>
      <c r="N141" s="56">
        <v>0</v>
      </c>
      <c r="O141" s="56">
        <v>1</v>
      </c>
      <c r="P141" s="56">
        <v>1</v>
      </c>
      <c r="Q141" s="56">
        <v>44233384.17999999</v>
      </c>
      <c r="R141" s="56">
        <v>3158800001.49</v>
      </c>
      <c r="S141" s="56">
        <v>217</v>
      </c>
      <c r="T141" s="56">
        <v>44233384.17999999</v>
      </c>
      <c r="U141" s="56">
        <v>0</v>
      </c>
      <c r="V141" s="56">
        <v>0</v>
      </c>
      <c r="W141" s="56">
        <v>2211669.21</v>
      </c>
      <c r="X141" s="56">
        <v>1591320001.49</v>
      </c>
      <c r="Y141" s="55" t="s">
        <v>272</v>
      </c>
    </row>
    <row r="142" spans="1:25">
      <c r="A142" s="55" t="s">
        <v>686</v>
      </c>
      <c r="B142" s="56">
        <v>6</v>
      </c>
      <c r="C142" s="56">
        <v>0</v>
      </c>
      <c r="D142" s="56">
        <v>1</v>
      </c>
      <c r="F142" s="56">
        <v>3385079.398</v>
      </c>
      <c r="G142" s="56">
        <v>0</v>
      </c>
      <c r="H142" s="56">
        <v>0</v>
      </c>
      <c r="I142" s="56">
        <v>0</v>
      </c>
      <c r="J142" s="56">
        <v>0</v>
      </c>
      <c r="K142" s="56">
        <v>11</v>
      </c>
      <c r="L142" s="56">
        <v>914</v>
      </c>
      <c r="M142" s="56">
        <v>1</v>
      </c>
      <c r="N142" s="56">
        <v>914</v>
      </c>
      <c r="O142" s="56">
        <v>5</v>
      </c>
      <c r="P142" s="56">
        <v>5</v>
      </c>
      <c r="Q142" s="56">
        <v>5812387.16</v>
      </c>
      <c r="R142" s="56">
        <v>169581663.49</v>
      </c>
      <c r="S142" s="56">
        <v>80</v>
      </c>
      <c r="T142" s="56">
        <v>132770618.48</v>
      </c>
      <c r="U142" s="56">
        <v>2</v>
      </c>
      <c r="V142" s="56">
        <v>0</v>
      </c>
      <c r="W142" s="56">
        <v>3602875.5</v>
      </c>
      <c r="X142" s="56">
        <v>0</v>
      </c>
      <c r="Y142" s="55" t="s">
        <v>546</v>
      </c>
    </row>
    <row r="143" spans="1:25">
      <c r="A143" s="55" t="s">
        <v>687</v>
      </c>
      <c r="B143" s="56">
        <v>5</v>
      </c>
      <c r="C143" s="56">
        <v>0</v>
      </c>
      <c r="D143" s="56">
        <v>0</v>
      </c>
      <c r="E143" s="56">
        <v>119200000</v>
      </c>
      <c r="F143" s="56">
        <v>2522377.418</v>
      </c>
      <c r="G143" s="56">
        <v>0</v>
      </c>
      <c r="H143" s="56">
        <v>244360000</v>
      </c>
      <c r="I143" s="56">
        <v>0</v>
      </c>
      <c r="J143" s="56">
        <v>37291695.91</v>
      </c>
      <c r="K143" s="56">
        <v>103.25</v>
      </c>
      <c r="M143" s="56">
        <v>1</v>
      </c>
      <c r="N143" s="56">
        <v>0</v>
      </c>
      <c r="O143" s="56">
        <v>1</v>
      </c>
      <c r="P143" s="56">
        <v>1</v>
      </c>
      <c r="Q143" s="56">
        <v>37291695.91</v>
      </c>
      <c r="R143" s="56">
        <v>244360000</v>
      </c>
      <c r="S143" s="56">
        <v>153</v>
      </c>
      <c r="T143" s="56">
        <v>37291695.91</v>
      </c>
      <c r="U143" s="56">
        <v>0</v>
      </c>
      <c r="V143" s="56">
        <v>0</v>
      </c>
      <c r="W143" s="56">
        <v>1864584.8</v>
      </c>
      <c r="X143" s="56">
        <v>244360000</v>
      </c>
      <c r="Y143" s="55" t="s">
        <v>272</v>
      </c>
    </row>
    <row r="144" spans="1:25">
      <c r="A144" s="55" t="s">
        <v>688</v>
      </c>
      <c r="B144" s="56">
        <v>14</v>
      </c>
      <c r="C144" s="56">
        <v>0</v>
      </c>
      <c r="D144" s="56">
        <v>0</v>
      </c>
      <c r="E144" s="56">
        <v>104821500</v>
      </c>
      <c r="F144" s="56">
        <v>18138787.97</v>
      </c>
      <c r="G144" s="56">
        <v>0</v>
      </c>
      <c r="H144" s="56">
        <v>282131500</v>
      </c>
      <c r="I144" s="56">
        <v>0</v>
      </c>
      <c r="J144" s="56">
        <v>117435665.4</v>
      </c>
      <c r="K144" s="56">
        <v>53.75</v>
      </c>
      <c r="L144" s="56">
        <v>0</v>
      </c>
      <c r="N144" s="56">
        <v>0</v>
      </c>
      <c r="O144" s="56">
        <v>1</v>
      </c>
      <c r="P144" s="56">
        <v>1</v>
      </c>
      <c r="Q144" s="56">
        <v>117435665.4</v>
      </c>
      <c r="R144" s="56">
        <v>2297155114.42</v>
      </c>
      <c r="S144" s="56">
        <v>139</v>
      </c>
      <c r="T144" s="56">
        <v>1524736256.78</v>
      </c>
      <c r="U144" s="56">
        <v>0</v>
      </c>
      <c r="V144" s="56">
        <v>0</v>
      </c>
      <c r="W144" s="56">
        <v>33384556.57</v>
      </c>
      <c r="X144" s="56">
        <v>282131500</v>
      </c>
      <c r="Y144" s="55" t="s">
        <v>272</v>
      </c>
    </row>
    <row r="145" spans="1:25">
      <c r="A145" s="55" t="s">
        <v>689</v>
      </c>
      <c r="B145" s="56">
        <v>4</v>
      </c>
      <c r="C145" s="56">
        <v>0</v>
      </c>
      <c r="D145" s="56">
        <v>0</v>
      </c>
      <c r="E145" s="56">
        <v>372500000</v>
      </c>
      <c r="F145" s="56">
        <v>10077376.53</v>
      </c>
      <c r="G145" s="56">
        <v>0</v>
      </c>
      <c r="H145" s="56">
        <v>443275000</v>
      </c>
      <c r="I145" s="56">
        <v>0</v>
      </c>
      <c r="J145" s="56">
        <v>19206529.52</v>
      </c>
      <c r="K145" s="56">
        <v>39.5</v>
      </c>
      <c r="N145" s="56">
        <v>0</v>
      </c>
      <c r="O145" s="56">
        <v>1</v>
      </c>
      <c r="P145" s="56">
        <v>1</v>
      </c>
      <c r="Q145" s="56">
        <v>19206529.52</v>
      </c>
      <c r="R145" s="56">
        <v>443275000</v>
      </c>
      <c r="S145" s="56">
        <v>85</v>
      </c>
      <c r="T145" s="56">
        <v>19206529.52</v>
      </c>
      <c r="U145" s="56">
        <v>0</v>
      </c>
      <c r="V145" s="56">
        <v>0</v>
      </c>
      <c r="W145" s="56">
        <v>960326.48</v>
      </c>
      <c r="X145" s="56">
        <v>443275000</v>
      </c>
      <c r="Y145" s="55" t="s">
        <v>272</v>
      </c>
    </row>
    <row r="146" spans="1:25">
      <c r="A146" s="55" t="s">
        <v>690</v>
      </c>
      <c r="B146" s="56">
        <v>3</v>
      </c>
      <c r="C146" s="56">
        <v>0</v>
      </c>
      <c r="D146" s="56">
        <v>0</v>
      </c>
      <c r="E146" s="56">
        <v>67050000</v>
      </c>
      <c r="F146" s="56">
        <v>1765061.201</v>
      </c>
      <c r="G146" s="56">
        <v>0</v>
      </c>
      <c r="H146" s="56">
        <v>67050000</v>
      </c>
      <c r="I146" s="56">
        <v>0</v>
      </c>
      <c r="J146" s="56">
        <v>0</v>
      </c>
      <c r="K146" s="56">
        <v>118</v>
      </c>
      <c r="N146" s="56">
        <v>0</v>
      </c>
      <c r="O146" s="56">
        <v>1</v>
      </c>
      <c r="P146" s="56">
        <v>1</v>
      </c>
      <c r="Q146" s="56">
        <v>0</v>
      </c>
      <c r="R146" s="56">
        <v>67050000</v>
      </c>
      <c r="S146" s="56">
        <v>118</v>
      </c>
      <c r="T146" s="56">
        <v>0</v>
      </c>
      <c r="U146" s="56">
        <v>0</v>
      </c>
      <c r="V146" s="56">
        <v>0</v>
      </c>
      <c r="W146" s="56">
        <v>0</v>
      </c>
      <c r="X146" s="56">
        <v>67050000</v>
      </c>
      <c r="Y146" s="55" t="s">
        <v>272</v>
      </c>
    </row>
    <row r="147" spans="1:25">
      <c r="A147" s="55" t="s">
        <v>691</v>
      </c>
      <c r="B147" s="56">
        <v>3</v>
      </c>
      <c r="C147" s="56">
        <v>0</v>
      </c>
      <c r="D147" s="56">
        <v>0</v>
      </c>
      <c r="E147" s="56">
        <v>81950000</v>
      </c>
      <c r="F147" s="56">
        <v>1330213.702</v>
      </c>
      <c r="G147" s="56">
        <v>0</v>
      </c>
      <c r="H147" s="56">
        <v>131120000</v>
      </c>
      <c r="I147" s="56">
        <v>0</v>
      </c>
      <c r="J147" s="56">
        <v>22092048.66</v>
      </c>
      <c r="K147" s="56">
        <v>72</v>
      </c>
      <c r="M147" s="56">
        <v>1</v>
      </c>
      <c r="N147" s="56">
        <v>0</v>
      </c>
      <c r="O147" s="56">
        <v>1</v>
      </c>
      <c r="P147" s="56">
        <v>1</v>
      </c>
      <c r="Q147" s="56">
        <v>22092048.66</v>
      </c>
      <c r="R147" s="56">
        <v>205620000</v>
      </c>
      <c r="S147" s="56">
        <v>90</v>
      </c>
      <c r="T147" s="56">
        <v>22092048.66</v>
      </c>
      <c r="U147" s="56">
        <v>0</v>
      </c>
      <c r="V147" s="56">
        <v>0</v>
      </c>
      <c r="W147" s="56">
        <v>1104602.43</v>
      </c>
      <c r="X147" s="56">
        <v>131120000</v>
      </c>
      <c r="Y147" s="55" t="s">
        <v>272</v>
      </c>
    </row>
    <row r="148" spans="1:25">
      <c r="A148" s="55" t="s">
        <v>692</v>
      </c>
      <c r="B148" s="56">
        <v>7</v>
      </c>
      <c r="C148" s="56">
        <v>0</v>
      </c>
      <c r="D148" s="56">
        <v>0</v>
      </c>
      <c r="E148" s="56">
        <v>372500000</v>
      </c>
      <c r="F148" s="56">
        <v>4714911.156</v>
      </c>
      <c r="G148" s="56">
        <v>0</v>
      </c>
      <c r="H148" s="56">
        <v>591530000</v>
      </c>
      <c r="I148" s="56">
        <v>0</v>
      </c>
      <c r="J148" s="56">
        <v>21164100</v>
      </c>
      <c r="K148" s="56">
        <v>106</v>
      </c>
      <c r="N148" s="56">
        <v>0</v>
      </c>
      <c r="O148" s="56">
        <v>1</v>
      </c>
      <c r="P148" s="56">
        <v>1</v>
      </c>
      <c r="Q148" s="56">
        <v>21164100</v>
      </c>
      <c r="R148" s="56">
        <v>721160000</v>
      </c>
      <c r="S148" s="56">
        <v>198</v>
      </c>
      <c r="T148" s="56">
        <v>21164100</v>
      </c>
      <c r="U148" s="56">
        <v>0</v>
      </c>
      <c r="V148" s="56">
        <v>0</v>
      </c>
      <c r="W148" s="56">
        <v>1058205</v>
      </c>
      <c r="X148" s="56">
        <v>591530000</v>
      </c>
      <c r="Y148" s="55" t="s">
        <v>272</v>
      </c>
    </row>
    <row r="149" spans="1:25">
      <c r="A149" s="55" t="s">
        <v>693</v>
      </c>
      <c r="B149" s="56">
        <v>3</v>
      </c>
      <c r="C149" s="56">
        <v>0</v>
      </c>
      <c r="D149" s="56">
        <v>0</v>
      </c>
      <c r="E149" s="56">
        <v>44700000</v>
      </c>
      <c r="F149" s="56">
        <v>13742624.67</v>
      </c>
      <c r="G149" s="56">
        <v>0</v>
      </c>
      <c r="H149" s="56">
        <v>44700000</v>
      </c>
      <c r="I149" s="56">
        <v>0</v>
      </c>
      <c r="J149" s="56">
        <v>39215270.85</v>
      </c>
      <c r="K149" s="56">
        <v>21</v>
      </c>
      <c r="M149" s="56">
        <v>1</v>
      </c>
      <c r="N149" s="56">
        <v>0</v>
      </c>
      <c r="O149" s="56">
        <v>1</v>
      </c>
      <c r="P149" s="56">
        <v>1</v>
      </c>
      <c r="Q149" s="56">
        <v>39215270.85</v>
      </c>
      <c r="R149" s="56">
        <v>1602032626</v>
      </c>
      <c r="S149" s="56">
        <v>21</v>
      </c>
      <c r="T149" s="56">
        <v>1606999793.85</v>
      </c>
      <c r="U149" s="56">
        <v>0</v>
      </c>
      <c r="V149" s="56">
        <v>0</v>
      </c>
      <c r="W149" s="56">
        <v>15703388.21</v>
      </c>
      <c r="X149" s="56">
        <v>44700000</v>
      </c>
      <c r="Y149" s="55" t="s">
        <v>272</v>
      </c>
    </row>
    <row r="150" spans="1:25">
      <c r="A150" s="55" t="s">
        <v>694</v>
      </c>
      <c r="B150" s="56">
        <v>162</v>
      </c>
      <c r="C150" s="56">
        <v>0</v>
      </c>
      <c r="D150" s="56">
        <v>0</v>
      </c>
      <c r="E150" s="56">
        <v>74500000</v>
      </c>
      <c r="F150" s="56">
        <v>9358070.514</v>
      </c>
      <c r="G150" s="56">
        <v>45939526.44</v>
      </c>
      <c r="H150" s="56">
        <v>96850000</v>
      </c>
      <c r="I150" s="56">
        <v>15193250.8345</v>
      </c>
      <c r="J150" s="56">
        <v>42050500.5</v>
      </c>
      <c r="K150" s="56">
        <v>21.57</v>
      </c>
      <c r="L150" s="56">
        <v>0</v>
      </c>
      <c r="M150" s="56">
        <v>5</v>
      </c>
      <c r="N150" s="56">
        <v>0</v>
      </c>
      <c r="O150" s="56">
        <v>2</v>
      </c>
      <c r="P150" s="56">
        <v>3</v>
      </c>
      <c r="Q150" s="56">
        <v>105156992.59</v>
      </c>
      <c r="R150" s="56">
        <v>913661442.53</v>
      </c>
      <c r="S150" s="56">
        <v>148</v>
      </c>
      <c r="T150" s="56">
        <v>559602655.5500001</v>
      </c>
      <c r="U150" s="56">
        <v>1</v>
      </c>
      <c r="V150" s="56">
        <v>0</v>
      </c>
      <c r="W150" s="56">
        <v>46307535.02</v>
      </c>
      <c r="X150" s="56">
        <v>142789526.44</v>
      </c>
      <c r="Y150" s="55" t="s">
        <v>272</v>
      </c>
    </row>
    <row r="151" spans="1:25">
      <c r="A151" s="55" t="s">
        <v>695</v>
      </c>
      <c r="B151" s="56">
        <v>5</v>
      </c>
      <c r="C151" s="56">
        <v>0</v>
      </c>
      <c r="D151" s="56">
        <v>0</v>
      </c>
      <c r="E151" s="56">
        <v>7450000</v>
      </c>
      <c r="F151" s="56">
        <v>1514281.688</v>
      </c>
      <c r="G151" s="56">
        <v>1735435</v>
      </c>
      <c r="H151" s="56">
        <v>7450000</v>
      </c>
      <c r="I151" s="56">
        <v>1652651.9589</v>
      </c>
      <c r="J151" s="56">
        <v>0</v>
      </c>
      <c r="K151" s="56">
        <v>1.33</v>
      </c>
      <c r="L151" s="56">
        <v>0</v>
      </c>
      <c r="M151" s="56">
        <v>1</v>
      </c>
      <c r="N151" s="56">
        <v>0</v>
      </c>
      <c r="O151" s="56">
        <v>1</v>
      </c>
      <c r="P151" s="56">
        <v>1</v>
      </c>
      <c r="Q151" s="56">
        <v>1735435</v>
      </c>
      <c r="R151" s="56">
        <v>13968878.14</v>
      </c>
      <c r="S151" s="56">
        <v>14</v>
      </c>
      <c r="T151" s="56">
        <v>1735435</v>
      </c>
      <c r="U151" s="56">
        <v>0</v>
      </c>
      <c r="V151" s="56">
        <v>0</v>
      </c>
      <c r="W151" s="56">
        <v>1652651.96</v>
      </c>
      <c r="X151" s="56">
        <v>9185435</v>
      </c>
      <c r="Y151" s="55" t="s">
        <v>272</v>
      </c>
    </row>
    <row r="152" spans="1:25">
      <c r="A152" s="55" t="s">
        <v>696</v>
      </c>
      <c r="B152" s="56">
        <v>3</v>
      </c>
      <c r="C152" s="56">
        <v>0</v>
      </c>
      <c r="D152" s="56">
        <v>0</v>
      </c>
      <c r="E152" s="56">
        <v>10430000</v>
      </c>
      <c r="F152" s="56">
        <v>229768.6845</v>
      </c>
      <c r="G152" s="56">
        <v>0</v>
      </c>
      <c r="H152" s="56">
        <v>25330000</v>
      </c>
      <c r="I152" s="56">
        <v>0</v>
      </c>
      <c r="J152" s="56">
        <v>1300938.08</v>
      </c>
      <c r="K152" s="56">
        <v>47</v>
      </c>
      <c r="N152" s="56">
        <v>0</v>
      </c>
      <c r="O152" s="56">
        <v>1</v>
      </c>
      <c r="P152" s="56">
        <v>1</v>
      </c>
      <c r="Q152" s="56">
        <v>1300938.08</v>
      </c>
      <c r="R152" s="56">
        <v>25330000</v>
      </c>
      <c r="S152" s="56">
        <v>67</v>
      </c>
      <c r="T152" s="56">
        <v>1300938.08</v>
      </c>
      <c r="U152" s="56">
        <v>0</v>
      </c>
      <c r="V152" s="56">
        <v>0</v>
      </c>
      <c r="W152" s="56">
        <v>65046.9</v>
      </c>
      <c r="X152" s="56">
        <v>25330000</v>
      </c>
      <c r="Y152" s="55" t="s">
        <v>272</v>
      </c>
    </row>
    <row r="153" spans="1:25">
      <c r="A153" s="55" t="s">
        <v>697</v>
      </c>
      <c r="B153" s="56">
        <v>1</v>
      </c>
      <c r="C153" s="56">
        <v>0</v>
      </c>
      <c r="D153" s="56">
        <v>0</v>
      </c>
      <c r="E153" s="56">
        <v>120690000</v>
      </c>
      <c r="F153" s="56">
        <v>3265069.995</v>
      </c>
      <c r="G153" s="56">
        <v>0</v>
      </c>
      <c r="H153" s="56">
        <v>120690000</v>
      </c>
      <c r="I153" s="56">
        <v>0</v>
      </c>
      <c r="J153" s="56">
        <v>7500</v>
      </c>
      <c r="K153" s="56">
        <v>7</v>
      </c>
      <c r="N153" s="56">
        <v>0</v>
      </c>
      <c r="O153" s="56">
        <v>1</v>
      </c>
      <c r="P153" s="56">
        <v>1</v>
      </c>
      <c r="Q153" s="56">
        <v>7500</v>
      </c>
      <c r="R153" s="56">
        <v>120690000</v>
      </c>
      <c r="S153" s="56">
        <v>7</v>
      </c>
      <c r="T153" s="56">
        <v>7500</v>
      </c>
      <c r="U153" s="56">
        <v>0</v>
      </c>
      <c r="V153" s="56">
        <v>0</v>
      </c>
      <c r="W153" s="56">
        <v>375</v>
      </c>
      <c r="X153" s="56">
        <v>120690000</v>
      </c>
      <c r="Y153" s="55" t="s">
        <v>272</v>
      </c>
    </row>
    <row r="154" spans="1:25">
      <c r="A154" s="55" t="s">
        <v>698</v>
      </c>
      <c r="B154" s="56">
        <v>5</v>
      </c>
      <c r="C154" s="56">
        <v>0</v>
      </c>
      <c r="D154" s="56">
        <v>0</v>
      </c>
      <c r="E154" s="56">
        <v>56620000</v>
      </c>
      <c r="F154" s="56">
        <v>741619.361</v>
      </c>
      <c r="G154" s="56">
        <v>0</v>
      </c>
      <c r="H154" s="56">
        <v>56620000</v>
      </c>
      <c r="I154" s="56">
        <v>0</v>
      </c>
      <c r="J154" s="56">
        <v>9938416.800000001</v>
      </c>
      <c r="K154" s="56">
        <v>146</v>
      </c>
      <c r="N154" s="56">
        <v>0</v>
      </c>
      <c r="O154" s="56">
        <v>1</v>
      </c>
      <c r="P154" s="56">
        <v>1</v>
      </c>
      <c r="Q154" s="56">
        <v>9938416.800000001</v>
      </c>
      <c r="R154" s="56">
        <v>71520000</v>
      </c>
      <c r="S154" s="56">
        <v>146</v>
      </c>
      <c r="T154" s="56">
        <v>9938416.800000001</v>
      </c>
      <c r="U154" s="56">
        <v>0</v>
      </c>
      <c r="V154" s="56">
        <v>0</v>
      </c>
      <c r="W154" s="56">
        <v>496920.84</v>
      </c>
      <c r="X154" s="56">
        <v>56620000</v>
      </c>
      <c r="Y154" s="55" t="s">
        <v>272</v>
      </c>
    </row>
    <row r="155" spans="1:25">
      <c r="A155" s="55" t="s">
        <v>699</v>
      </c>
      <c r="B155" s="56">
        <v>44</v>
      </c>
      <c r="C155" s="56">
        <v>0</v>
      </c>
      <c r="D155" s="56">
        <v>0</v>
      </c>
      <c r="F155" s="56">
        <v>467638.8369</v>
      </c>
      <c r="G155" s="56">
        <v>0</v>
      </c>
      <c r="H155" s="56">
        <v>0</v>
      </c>
      <c r="I155" s="56">
        <v>467638.8369</v>
      </c>
      <c r="J155" s="56">
        <v>0</v>
      </c>
      <c r="K155" s="56">
        <v>51</v>
      </c>
      <c r="L155" s="56">
        <v>0</v>
      </c>
      <c r="M155" s="56">
        <v>1</v>
      </c>
      <c r="N155" s="56">
        <v>0</v>
      </c>
      <c r="O155" s="56">
        <v>1</v>
      </c>
      <c r="P155" s="56">
        <v>1</v>
      </c>
      <c r="Q155" s="56">
        <v>0</v>
      </c>
      <c r="R155" s="56">
        <v>19541068.39</v>
      </c>
      <c r="S155" s="56">
        <v>51</v>
      </c>
      <c r="T155" s="56">
        <v>0</v>
      </c>
      <c r="U155" s="56">
        <v>0</v>
      </c>
      <c r="V155" s="56">
        <v>0</v>
      </c>
      <c r="W155" s="56">
        <v>467638.84</v>
      </c>
      <c r="X155" s="56">
        <v>0</v>
      </c>
      <c r="Y155" s="55" t="s">
        <v>272</v>
      </c>
    </row>
    <row r="156" spans="1:25">
      <c r="A156" s="55" t="s">
        <v>700</v>
      </c>
      <c r="B156" s="56">
        <v>3</v>
      </c>
      <c r="C156" s="56">
        <v>0</v>
      </c>
      <c r="D156" s="56">
        <v>0</v>
      </c>
      <c r="E156" s="56">
        <v>22350000</v>
      </c>
      <c r="F156" s="56">
        <v>604642.5917</v>
      </c>
      <c r="G156" s="56">
        <v>0</v>
      </c>
      <c r="H156" s="56">
        <v>34270000</v>
      </c>
      <c r="I156" s="56">
        <v>0</v>
      </c>
      <c r="J156" s="56">
        <v>15282045.34</v>
      </c>
      <c r="K156" s="56">
        <v>55.5</v>
      </c>
      <c r="N156" s="56">
        <v>0</v>
      </c>
      <c r="O156" s="56">
        <v>1</v>
      </c>
      <c r="P156" s="56">
        <v>2</v>
      </c>
      <c r="Q156" s="56">
        <v>15282045.34</v>
      </c>
      <c r="R156" s="56">
        <v>44700000</v>
      </c>
      <c r="S156" s="56">
        <v>105</v>
      </c>
      <c r="T156" s="56">
        <v>15282045.34</v>
      </c>
      <c r="U156" s="56">
        <v>0</v>
      </c>
      <c r="V156" s="56">
        <v>0</v>
      </c>
      <c r="W156" s="56">
        <v>764102.27</v>
      </c>
      <c r="X156" s="56">
        <v>34270000</v>
      </c>
      <c r="Y156" s="55" t="s">
        <v>272</v>
      </c>
    </row>
    <row r="157" spans="1:25">
      <c r="A157" s="55" t="s">
        <v>701</v>
      </c>
      <c r="B157" s="56">
        <v>12</v>
      </c>
      <c r="C157" s="56">
        <v>0</v>
      </c>
      <c r="D157" s="56">
        <v>0</v>
      </c>
      <c r="E157" s="56">
        <v>1488510000</v>
      </c>
      <c r="F157" s="56">
        <v>39533221.63</v>
      </c>
      <c r="G157" s="56">
        <v>0</v>
      </c>
      <c r="H157" s="56">
        <v>1863990000</v>
      </c>
      <c r="I157" s="56">
        <v>0</v>
      </c>
      <c r="J157" s="56">
        <v>517944.34</v>
      </c>
      <c r="K157" s="56">
        <v>87.33</v>
      </c>
      <c r="L157" s="56">
        <v>8</v>
      </c>
      <c r="M157" s="56">
        <v>1</v>
      </c>
      <c r="N157" s="56">
        <v>8</v>
      </c>
      <c r="O157" s="56">
        <v>2</v>
      </c>
      <c r="P157" s="56">
        <v>2</v>
      </c>
      <c r="Q157" s="56">
        <v>517944.34</v>
      </c>
      <c r="R157" s="56">
        <v>20213167638.49</v>
      </c>
      <c r="S157" s="56">
        <v>184</v>
      </c>
      <c r="T157" s="56">
        <v>517944.34</v>
      </c>
      <c r="U157" s="56">
        <v>1</v>
      </c>
      <c r="V157" s="56">
        <v>0</v>
      </c>
      <c r="W157" s="56">
        <v>25897.22</v>
      </c>
      <c r="X157" s="56">
        <v>1863990000</v>
      </c>
      <c r="Y157" s="55" t="s">
        <v>272</v>
      </c>
    </row>
    <row r="158" spans="1:25">
      <c r="A158" s="55" t="s">
        <v>702</v>
      </c>
      <c r="B158" s="56">
        <v>5</v>
      </c>
      <c r="C158" s="56">
        <v>0</v>
      </c>
      <c r="D158" s="56">
        <v>0</v>
      </c>
      <c r="E158" s="56">
        <v>123670000</v>
      </c>
      <c r="F158" s="56">
        <v>3829527.496</v>
      </c>
      <c r="G158" s="56">
        <v>0</v>
      </c>
      <c r="H158" s="56">
        <v>123670000</v>
      </c>
      <c r="I158" s="56">
        <v>0</v>
      </c>
      <c r="J158" s="56">
        <v>20262693.15</v>
      </c>
      <c r="K158" s="56">
        <v>400</v>
      </c>
      <c r="L158" s="56">
        <v>0</v>
      </c>
      <c r="M158" s="56">
        <v>1</v>
      </c>
      <c r="N158" s="56">
        <v>0</v>
      </c>
      <c r="O158" s="56">
        <v>1</v>
      </c>
      <c r="P158" s="56">
        <v>1</v>
      </c>
      <c r="Q158" s="56">
        <v>20262693.15</v>
      </c>
      <c r="R158" s="56">
        <v>247340000</v>
      </c>
      <c r="S158" s="56">
        <v>400</v>
      </c>
      <c r="T158" s="56">
        <v>20262693.15</v>
      </c>
      <c r="U158" s="56">
        <v>0</v>
      </c>
      <c r="V158" s="56">
        <v>0</v>
      </c>
      <c r="W158" s="56">
        <v>1013134.66</v>
      </c>
      <c r="X158" s="56">
        <v>123670000</v>
      </c>
      <c r="Y158" s="55" t="s">
        <v>272</v>
      </c>
    </row>
    <row r="159" spans="1:25">
      <c r="A159" s="55" t="s">
        <v>703</v>
      </c>
      <c r="B159" s="56">
        <v>45</v>
      </c>
      <c r="C159" s="56">
        <v>0</v>
      </c>
      <c r="D159" s="56">
        <v>0</v>
      </c>
      <c r="F159" s="56">
        <v>2507577.682</v>
      </c>
      <c r="G159" s="56">
        <v>3301425</v>
      </c>
      <c r="H159" s="56">
        <v>0</v>
      </c>
      <c r="I159" s="56">
        <v>1091680.4185</v>
      </c>
      <c r="J159" s="56">
        <v>0</v>
      </c>
      <c r="K159" s="56">
        <v>5</v>
      </c>
      <c r="L159" s="56">
        <v>0</v>
      </c>
      <c r="M159" s="56">
        <v>1</v>
      </c>
      <c r="N159" s="56">
        <v>0</v>
      </c>
      <c r="O159" s="56">
        <v>1</v>
      </c>
      <c r="P159" s="56">
        <v>1</v>
      </c>
      <c r="Q159" s="56">
        <v>3369196.05</v>
      </c>
      <c r="R159" s="56">
        <v>69608216.75999999</v>
      </c>
      <c r="S159" s="56">
        <v>54</v>
      </c>
      <c r="T159" s="56">
        <v>20942048.71</v>
      </c>
      <c r="U159" s="56">
        <v>0</v>
      </c>
      <c r="V159" s="56">
        <v>0</v>
      </c>
      <c r="W159" s="56">
        <v>3614530.84</v>
      </c>
      <c r="X159" s="56">
        <v>3301425</v>
      </c>
      <c r="Y159" s="55" t="s">
        <v>272</v>
      </c>
    </row>
    <row r="160" spans="1:25">
      <c r="A160" s="55" t="s">
        <v>704</v>
      </c>
      <c r="B160" s="56">
        <v>6</v>
      </c>
      <c r="C160" s="56">
        <v>0</v>
      </c>
      <c r="D160" s="56">
        <v>0</v>
      </c>
      <c r="E160" s="56">
        <v>219030000</v>
      </c>
      <c r="F160" s="56">
        <v>5374119.302</v>
      </c>
      <c r="G160" s="56">
        <v>0</v>
      </c>
      <c r="H160" s="56">
        <v>409005000</v>
      </c>
      <c r="I160" s="56">
        <v>0</v>
      </c>
      <c r="J160" s="56">
        <v>145608548.86</v>
      </c>
      <c r="K160" s="56">
        <v>85</v>
      </c>
      <c r="M160" s="56">
        <v>1</v>
      </c>
      <c r="N160" s="56">
        <v>0</v>
      </c>
      <c r="O160" s="56">
        <v>1</v>
      </c>
      <c r="P160" s="56">
        <v>1</v>
      </c>
      <c r="Q160" s="56">
        <v>145608548.86</v>
      </c>
      <c r="R160" s="56">
        <v>1162200000</v>
      </c>
      <c r="S160" s="56">
        <v>156</v>
      </c>
      <c r="T160" s="56">
        <v>145608548.86</v>
      </c>
      <c r="U160" s="56">
        <v>0</v>
      </c>
      <c r="V160" s="56">
        <v>0</v>
      </c>
      <c r="W160" s="56">
        <v>7280427.44</v>
      </c>
      <c r="X160" s="56">
        <v>409005000</v>
      </c>
      <c r="Y160" s="55" t="s">
        <v>272</v>
      </c>
    </row>
    <row r="161" spans="1:25">
      <c r="A161" s="55" t="s">
        <v>705</v>
      </c>
      <c r="B161" s="56">
        <v>3</v>
      </c>
      <c r="C161" s="56">
        <v>0</v>
      </c>
      <c r="D161" s="56">
        <v>0</v>
      </c>
      <c r="E161" s="56">
        <v>44700000</v>
      </c>
      <c r="F161" s="56">
        <v>471491.1156</v>
      </c>
      <c r="G161" s="56">
        <v>0</v>
      </c>
      <c r="H161" s="56">
        <v>44700000</v>
      </c>
      <c r="I161" s="56">
        <v>0</v>
      </c>
      <c r="J161" s="56">
        <v>29674177.28</v>
      </c>
      <c r="K161" s="56">
        <v>111</v>
      </c>
      <c r="N161" s="56">
        <v>0</v>
      </c>
      <c r="O161" s="56">
        <v>1</v>
      </c>
      <c r="P161" s="56">
        <v>1</v>
      </c>
      <c r="Q161" s="56">
        <v>29674177.28</v>
      </c>
      <c r="R161" s="56">
        <v>52157450</v>
      </c>
      <c r="S161" s="56">
        <v>167</v>
      </c>
      <c r="T161" s="56">
        <v>29674177.28</v>
      </c>
      <c r="U161" s="56">
        <v>0</v>
      </c>
      <c r="V161" s="56">
        <v>0</v>
      </c>
      <c r="W161" s="56">
        <v>1483708.86</v>
      </c>
      <c r="X161" s="56">
        <v>44700000</v>
      </c>
      <c r="Y161" s="55" t="s">
        <v>272</v>
      </c>
    </row>
    <row r="162" spans="1:25">
      <c r="A162" s="55" t="s">
        <v>706</v>
      </c>
      <c r="B162" s="56">
        <v>59</v>
      </c>
      <c r="C162" s="56">
        <v>0</v>
      </c>
      <c r="D162" s="56">
        <v>0</v>
      </c>
      <c r="E162" s="56">
        <v>4470000</v>
      </c>
      <c r="F162" s="56">
        <v>2002922.328</v>
      </c>
      <c r="G162" s="56">
        <v>828880.3300000001</v>
      </c>
      <c r="H162" s="56">
        <v>4470000</v>
      </c>
      <c r="I162" s="56">
        <v>396157.901196</v>
      </c>
      <c r="J162" s="56">
        <v>218293.02</v>
      </c>
      <c r="K162" s="56">
        <v>14</v>
      </c>
      <c r="L162" s="56">
        <v>0</v>
      </c>
      <c r="M162" s="56">
        <v>1</v>
      </c>
      <c r="N162" s="56">
        <v>7</v>
      </c>
      <c r="O162" s="56">
        <v>2</v>
      </c>
      <c r="P162" s="56">
        <v>2</v>
      </c>
      <c r="Q162" s="56">
        <v>1047173.35</v>
      </c>
      <c r="R162" s="56">
        <v>13559910.39</v>
      </c>
      <c r="S162" s="56">
        <v>42</v>
      </c>
      <c r="T162" s="56">
        <v>7678170.649999999</v>
      </c>
      <c r="U162" s="56">
        <v>0</v>
      </c>
      <c r="V162" s="56">
        <v>0</v>
      </c>
      <c r="W162" s="56">
        <v>2409994.88</v>
      </c>
      <c r="X162" s="56">
        <v>5298880.33</v>
      </c>
      <c r="Y162" s="55" t="s">
        <v>272</v>
      </c>
    </row>
    <row r="163" spans="1:25">
      <c r="A163" s="55" t="s">
        <v>707</v>
      </c>
      <c r="B163" s="56">
        <v>8</v>
      </c>
      <c r="C163" s="56">
        <v>0</v>
      </c>
      <c r="D163" s="56">
        <v>0</v>
      </c>
      <c r="E163" s="56">
        <v>393145440</v>
      </c>
      <c r="F163" s="56">
        <v>7003005.553</v>
      </c>
      <c r="G163" s="56">
        <v>0</v>
      </c>
      <c r="H163" s="56">
        <v>661345440</v>
      </c>
      <c r="I163" s="56">
        <v>0</v>
      </c>
      <c r="J163" s="56">
        <v>349730341.14</v>
      </c>
      <c r="K163" s="56">
        <v>201.75</v>
      </c>
      <c r="L163" s="56">
        <v>0</v>
      </c>
      <c r="M163" s="56">
        <v>2</v>
      </c>
      <c r="N163" s="56">
        <v>0</v>
      </c>
      <c r="O163" s="56">
        <v>1</v>
      </c>
      <c r="P163" s="56">
        <v>1</v>
      </c>
      <c r="Q163" s="56">
        <v>349730341.14</v>
      </c>
      <c r="R163" s="56">
        <v>822265440</v>
      </c>
      <c r="S163" s="56">
        <v>329</v>
      </c>
      <c r="T163" s="56">
        <v>349730341.14</v>
      </c>
      <c r="U163" s="56">
        <v>0</v>
      </c>
      <c r="V163" s="56">
        <v>0</v>
      </c>
      <c r="W163" s="56">
        <v>17486517.06</v>
      </c>
      <c r="X163" s="56">
        <v>661345440</v>
      </c>
      <c r="Y163" s="55" t="s">
        <v>272</v>
      </c>
    </row>
    <row r="164" spans="1:25">
      <c r="A164" s="55" t="s">
        <v>708</v>
      </c>
      <c r="B164" s="56">
        <v>2</v>
      </c>
      <c r="C164" s="56">
        <v>0</v>
      </c>
      <c r="D164" s="56">
        <v>0</v>
      </c>
      <c r="E164" s="56">
        <v>745000000</v>
      </c>
      <c r="F164" s="56">
        <v>14894909.79</v>
      </c>
      <c r="G164" s="56">
        <v>0</v>
      </c>
      <c r="H164" s="56">
        <v>774800000</v>
      </c>
      <c r="I164" s="56">
        <v>0</v>
      </c>
      <c r="J164" s="56">
        <v>0</v>
      </c>
      <c r="K164" s="56">
        <v>64</v>
      </c>
      <c r="L164" s="56">
        <v>0</v>
      </c>
      <c r="N164" s="56">
        <v>0</v>
      </c>
      <c r="O164" s="56">
        <v>1</v>
      </c>
      <c r="P164" s="56">
        <v>1</v>
      </c>
      <c r="Q164" s="56">
        <v>0</v>
      </c>
      <c r="R164" s="56">
        <v>774800000</v>
      </c>
      <c r="S164" s="56">
        <v>68</v>
      </c>
      <c r="T164" s="56">
        <v>0</v>
      </c>
      <c r="U164" s="56">
        <v>0</v>
      </c>
      <c r="V164" s="56">
        <v>0</v>
      </c>
      <c r="W164" s="56">
        <v>0</v>
      </c>
      <c r="X164" s="56">
        <v>774800000</v>
      </c>
      <c r="Y164" s="55" t="s">
        <v>272</v>
      </c>
    </row>
    <row r="165" spans="1:25">
      <c r="A165" s="55" t="s">
        <v>709</v>
      </c>
      <c r="B165" s="56">
        <v>7</v>
      </c>
      <c r="C165" s="56">
        <v>0</v>
      </c>
      <c r="D165" s="56">
        <v>0</v>
      </c>
      <c r="E165" s="56">
        <v>73010000</v>
      </c>
      <c r="F165" s="56">
        <v>1975165.799</v>
      </c>
      <c r="G165" s="56">
        <v>0</v>
      </c>
      <c r="H165" s="56">
        <v>87910000</v>
      </c>
      <c r="I165" s="56">
        <v>0</v>
      </c>
      <c r="J165" s="56">
        <v>50910822.72</v>
      </c>
      <c r="K165" s="56">
        <v>56</v>
      </c>
      <c r="M165" s="56">
        <v>1</v>
      </c>
      <c r="N165" s="56">
        <v>0</v>
      </c>
      <c r="O165" s="56">
        <v>1</v>
      </c>
      <c r="P165" s="56">
        <v>1</v>
      </c>
      <c r="Q165" s="56">
        <v>50910822.72</v>
      </c>
      <c r="R165" s="56">
        <v>87910000</v>
      </c>
      <c r="S165" s="56">
        <v>91</v>
      </c>
      <c r="T165" s="56">
        <v>50910822.72</v>
      </c>
      <c r="U165" s="56">
        <v>0</v>
      </c>
      <c r="V165" s="56">
        <v>0</v>
      </c>
      <c r="W165" s="56">
        <v>2545541.14</v>
      </c>
      <c r="X165" s="56">
        <v>87910000</v>
      </c>
      <c r="Y165" s="55" t="s">
        <v>272</v>
      </c>
    </row>
    <row r="166" spans="1:25">
      <c r="A166" s="55" t="s">
        <v>710</v>
      </c>
      <c r="B166" s="56">
        <v>4</v>
      </c>
      <c r="C166" s="56">
        <v>0</v>
      </c>
      <c r="D166" s="56">
        <v>0</v>
      </c>
      <c r="E166" s="56">
        <v>372500000</v>
      </c>
      <c r="F166" s="56">
        <v>6367420.923</v>
      </c>
      <c r="G166" s="56">
        <v>0</v>
      </c>
      <c r="H166" s="56">
        <v>745000000</v>
      </c>
      <c r="I166" s="56">
        <v>0</v>
      </c>
      <c r="J166" s="56">
        <v>0</v>
      </c>
      <c r="K166" s="56">
        <v>91.5</v>
      </c>
      <c r="N166" s="56">
        <v>0</v>
      </c>
      <c r="O166" s="56">
        <v>1</v>
      </c>
      <c r="P166" s="56">
        <v>1</v>
      </c>
      <c r="Q166" s="56">
        <v>0</v>
      </c>
      <c r="R166" s="56">
        <v>1043000000</v>
      </c>
      <c r="S166" s="56">
        <v>203</v>
      </c>
      <c r="T166" s="56">
        <v>0</v>
      </c>
      <c r="U166" s="56">
        <v>0</v>
      </c>
      <c r="V166" s="56">
        <v>0</v>
      </c>
      <c r="W166" s="56">
        <v>0</v>
      </c>
      <c r="X166" s="56">
        <v>745000000</v>
      </c>
      <c r="Y166" s="55" t="s">
        <v>272</v>
      </c>
    </row>
    <row r="167" spans="1:25">
      <c r="A167" s="55" t="s">
        <v>711</v>
      </c>
      <c r="B167" s="56">
        <v>15</v>
      </c>
      <c r="C167" s="56">
        <v>0</v>
      </c>
      <c r="D167" s="56">
        <v>0</v>
      </c>
      <c r="E167" s="56">
        <v>99830000</v>
      </c>
      <c r="F167" s="56">
        <v>2811007.962</v>
      </c>
      <c r="G167" s="56">
        <v>0</v>
      </c>
      <c r="H167" s="56">
        <v>296510000</v>
      </c>
      <c r="I167" s="56">
        <v>0</v>
      </c>
      <c r="J167" s="56">
        <v>114342848.88</v>
      </c>
      <c r="K167" s="56">
        <v>160.8</v>
      </c>
      <c r="L167" s="56">
        <v>4</v>
      </c>
      <c r="M167" s="56">
        <v>2</v>
      </c>
      <c r="N167" s="56">
        <v>4</v>
      </c>
      <c r="O167" s="56">
        <v>2</v>
      </c>
      <c r="P167" s="56">
        <v>2</v>
      </c>
      <c r="Q167" s="56">
        <v>114342848.88</v>
      </c>
      <c r="R167" s="56">
        <v>750960000</v>
      </c>
      <c r="S167" s="56">
        <v>206</v>
      </c>
      <c r="T167" s="56">
        <v>114342848.88</v>
      </c>
      <c r="U167" s="56">
        <v>0</v>
      </c>
      <c r="V167" s="56">
        <v>0</v>
      </c>
      <c r="W167" s="56">
        <v>5717142.44</v>
      </c>
      <c r="X167" s="56">
        <v>296510000</v>
      </c>
      <c r="Y167" s="55" t="s">
        <v>272</v>
      </c>
    </row>
    <row r="168" spans="1:25">
      <c r="A168" s="55" t="s">
        <v>712</v>
      </c>
      <c r="B168" s="56">
        <v>12</v>
      </c>
      <c r="C168" s="56">
        <v>0</v>
      </c>
      <c r="D168" s="56">
        <v>1</v>
      </c>
      <c r="F168" s="56">
        <v>31076214.8</v>
      </c>
      <c r="G168" s="56">
        <v>38642185</v>
      </c>
      <c r="H168" s="56">
        <v>0</v>
      </c>
      <c r="I168" s="56">
        <v>41123862.43560001</v>
      </c>
      <c r="J168" s="56">
        <v>0</v>
      </c>
      <c r="K168" s="56">
        <v>2.2</v>
      </c>
      <c r="L168" s="56">
        <v>0</v>
      </c>
      <c r="M168" s="56">
        <v>1</v>
      </c>
      <c r="N168" s="56">
        <v>2703</v>
      </c>
      <c r="O168" s="56">
        <v>5</v>
      </c>
      <c r="P168" s="56">
        <v>5</v>
      </c>
      <c r="Q168" s="56">
        <v>62437951.54</v>
      </c>
      <c r="R168" s="56">
        <v>108552547.91</v>
      </c>
      <c r="S168" s="56">
        <v>94</v>
      </c>
      <c r="T168" s="56">
        <v>72912922.95999999</v>
      </c>
      <c r="U168" s="56">
        <v>0</v>
      </c>
      <c r="V168" s="56">
        <v>0</v>
      </c>
      <c r="W168" s="56">
        <v>43373771.26</v>
      </c>
      <c r="X168" s="56">
        <v>38642185</v>
      </c>
      <c r="Y168" s="55" t="s">
        <v>546</v>
      </c>
    </row>
    <row r="169" spans="1:25">
      <c r="A169" s="55" t="s">
        <v>713</v>
      </c>
      <c r="B169" s="56">
        <v>16</v>
      </c>
      <c r="C169" s="56">
        <v>0</v>
      </c>
      <c r="D169" s="56">
        <v>0</v>
      </c>
      <c r="E169" s="56">
        <v>216050000</v>
      </c>
      <c r="F169" s="56">
        <v>45159767.83</v>
      </c>
      <c r="G169" s="56">
        <v>0</v>
      </c>
      <c r="H169" s="56">
        <v>379950000</v>
      </c>
      <c r="I169" s="56">
        <v>0</v>
      </c>
      <c r="J169" s="56">
        <v>145127500.52</v>
      </c>
      <c r="K169" s="56">
        <v>46</v>
      </c>
      <c r="M169" s="56">
        <v>1</v>
      </c>
      <c r="N169" s="56">
        <v>0</v>
      </c>
      <c r="O169" s="56">
        <v>1</v>
      </c>
      <c r="P169" s="56">
        <v>1</v>
      </c>
      <c r="Q169" s="56">
        <v>145127500.52</v>
      </c>
      <c r="R169" s="56">
        <v>2350631494.79</v>
      </c>
      <c r="S169" s="56">
        <v>276</v>
      </c>
      <c r="T169" s="56">
        <v>172598492.72</v>
      </c>
      <c r="U169" s="56">
        <v>0</v>
      </c>
      <c r="V169" s="56">
        <v>1</v>
      </c>
      <c r="W169" s="56">
        <v>52416142.86</v>
      </c>
      <c r="X169" s="56">
        <v>379950000</v>
      </c>
      <c r="Y169" s="55" t="s">
        <v>563</v>
      </c>
    </row>
    <row r="170" spans="1:25">
      <c r="A170" s="55" t="s">
        <v>714</v>
      </c>
      <c r="B170" s="56">
        <v>12</v>
      </c>
      <c r="C170" s="56">
        <v>0</v>
      </c>
      <c r="D170" s="56">
        <v>1</v>
      </c>
      <c r="F170" s="56">
        <v>21446.64826</v>
      </c>
      <c r="G170" s="56">
        <v>42866.7</v>
      </c>
      <c r="H170" s="56">
        <v>0</v>
      </c>
      <c r="I170" s="56">
        <v>21760.7025509</v>
      </c>
      <c r="J170" s="56">
        <v>0</v>
      </c>
      <c r="K170" s="56">
        <v>1</v>
      </c>
      <c r="L170" s="56">
        <v>1846</v>
      </c>
      <c r="M170" s="56">
        <v>1</v>
      </c>
      <c r="N170" s="56">
        <v>1846</v>
      </c>
      <c r="O170" s="56">
        <v>5</v>
      </c>
      <c r="P170" s="56">
        <v>5</v>
      </c>
      <c r="Q170" s="56">
        <v>2218124.82</v>
      </c>
      <c r="R170" s="56">
        <v>970052.58</v>
      </c>
      <c r="S170" s="56">
        <v>65</v>
      </c>
      <c r="T170" s="56">
        <v>2218124.82</v>
      </c>
      <c r="U170" s="56">
        <v>0</v>
      </c>
      <c r="V170" s="56">
        <v>0</v>
      </c>
      <c r="W170" s="56">
        <v>21760.7</v>
      </c>
      <c r="X170" s="56">
        <v>42866.7</v>
      </c>
      <c r="Y170" s="55" t="s">
        <v>546</v>
      </c>
    </row>
    <row r="171" spans="1:25">
      <c r="A171" s="55" t="s">
        <v>715</v>
      </c>
      <c r="B171" s="56">
        <v>5</v>
      </c>
      <c r="C171" s="56">
        <v>0</v>
      </c>
      <c r="D171" s="56">
        <v>0</v>
      </c>
      <c r="E171" s="56">
        <v>372500000</v>
      </c>
      <c r="F171" s="56">
        <v>9805895.561000001</v>
      </c>
      <c r="G171" s="56">
        <v>0</v>
      </c>
      <c r="H171" s="56">
        <v>722650000</v>
      </c>
      <c r="I171" s="56">
        <v>0</v>
      </c>
      <c r="J171" s="56">
        <v>28338678.22</v>
      </c>
      <c r="K171" s="56">
        <v>136.5</v>
      </c>
      <c r="L171" s="56">
        <v>0</v>
      </c>
      <c r="N171" s="56">
        <v>0</v>
      </c>
      <c r="O171" s="56">
        <v>1</v>
      </c>
      <c r="P171" s="56">
        <v>1</v>
      </c>
      <c r="Q171" s="56">
        <v>28338678.22</v>
      </c>
      <c r="R171" s="56">
        <v>782250000</v>
      </c>
      <c r="S171" s="56">
        <v>184</v>
      </c>
      <c r="T171" s="56">
        <v>28338678.22</v>
      </c>
      <c r="U171" s="56">
        <v>0</v>
      </c>
      <c r="V171" s="56">
        <v>0</v>
      </c>
      <c r="W171" s="56">
        <v>1416933.91</v>
      </c>
      <c r="X171" s="56">
        <v>722650000</v>
      </c>
      <c r="Y171" s="55" t="s">
        <v>272</v>
      </c>
    </row>
    <row r="172" spans="1:25">
      <c r="A172" s="55" t="s">
        <v>716</v>
      </c>
      <c r="B172" s="56">
        <v>13</v>
      </c>
      <c r="C172" s="56">
        <v>0</v>
      </c>
      <c r="D172" s="56">
        <v>0</v>
      </c>
      <c r="E172" s="56">
        <v>154960000</v>
      </c>
      <c r="F172" s="56">
        <v>45577036.38</v>
      </c>
      <c r="G172" s="56">
        <v>0</v>
      </c>
      <c r="H172" s="56">
        <v>262240000</v>
      </c>
      <c r="I172" s="56">
        <v>0</v>
      </c>
      <c r="J172" s="56">
        <v>8613836.48</v>
      </c>
      <c r="K172" s="56">
        <v>127.4</v>
      </c>
      <c r="L172" s="56">
        <v>0</v>
      </c>
      <c r="M172" s="56">
        <v>1</v>
      </c>
      <c r="N172" s="56">
        <v>0</v>
      </c>
      <c r="O172" s="56">
        <v>1</v>
      </c>
      <c r="P172" s="56">
        <v>1</v>
      </c>
      <c r="Q172" s="56">
        <v>8613836.48</v>
      </c>
      <c r="R172" s="56">
        <v>2504655179.79</v>
      </c>
      <c r="S172" s="56">
        <v>212</v>
      </c>
      <c r="T172" s="56">
        <v>1696014120.08</v>
      </c>
      <c r="U172" s="56">
        <v>0</v>
      </c>
      <c r="V172" s="56">
        <v>0</v>
      </c>
      <c r="W172" s="56">
        <v>61648582.03</v>
      </c>
      <c r="X172" s="56">
        <v>262240000</v>
      </c>
      <c r="Y172" s="55" t="s">
        <v>272</v>
      </c>
    </row>
    <row r="173" spans="1:25">
      <c r="A173" s="55" t="s">
        <v>717</v>
      </c>
      <c r="B173" s="56">
        <v>68</v>
      </c>
      <c r="C173" s="56">
        <v>0</v>
      </c>
      <c r="D173" s="56">
        <v>0</v>
      </c>
      <c r="F173" s="56">
        <v>205219.4864</v>
      </c>
      <c r="G173" s="56">
        <v>635062.21</v>
      </c>
      <c r="H173" s="56">
        <v>0</v>
      </c>
      <c r="I173" s="56">
        <v>391702.3312</v>
      </c>
      <c r="J173" s="56">
        <v>0</v>
      </c>
      <c r="K173" s="56">
        <v>2.5</v>
      </c>
      <c r="L173" s="56">
        <v>0</v>
      </c>
      <c r="M173" s="56">
        <v>1</v>
      </c>
      <c r="N173" s="56">
        <v>0</v>
      </c>
      <c r="O173" s="56">
        <v>1</v>
      </c>
      <c r="P173" s="56">
        <v>1</v>
      </c>
      <c r="Q173" s="56">
        <v>1253672.15</v>
      </c>
      <c r="R173" s="56">
        <v>3069414.9</v>
      </c>
      <c r="S173" s="56">
        <v>46</v>
      </c>
      <c r="T173" s="56">
        <v>1253672.15</v>
      </c>
      <c r="U173" s="56">
        <v>0</v>
      </c>
      <c r="V173" s="56">
        <v>0</v>
      </c>
      <c r="W173" s="56">
        <v>408908</v>
      </c>
      <c r="X173" s="56">
        <v>635062.21</v>
      </c>
      <c r="Y173" s="55" t="s">
        <v>272</v>
      </c>
    </row>
    <row r="174" spans="1:25">
      <c r="A174" s="55" t="s">
        <v>718</v>
      </c>
      <c r="B174" s="56">
        <v>8</v>
      </c>
      <c r="C174" s="56">
        <v>1</v>
      </c>
      <c r="D174" s="56">
        <v>0</v>
      </c>
      <c r="E174" s="56">
        <v>223500000</v>
      </c>
      <c r="F174" s="56">
        <v>101960913.5</v>
      </c>
      <c r="G174" s="56">
        <v>0</v>
      </c>
      <c r="H174" s="56">
        <v>417200000</v>
      </c>
      <c r="I174" s="56">
        <v>0</v>
      </c>
      <c r="J174" s="56">
        <v>258706185.1</v>
      </c>
      <c r="K174" s="56">
        <v>74.43000000000001</v>
      </c>
      <c r="L174" s="56">
        <v>0</v>
      </c>
      <c r="N174" s="56">
        <v>0</v>
      </c>
      <c r="O174" s="56">
        <v>1</v>
      </c>
      <c r="P174" s="56">
        <v>1</v>
      </c>
      <c r="Q174" s="56">
        <v>258706185.1</v>
      </c>
      <c r="R174" s="56">
        <v>9773660400</v>
      </c>
      <c r="S174" s="56">
        <v>171</v>
      </c>
      <c r="T174" s="56">
        <v>5426660607.1</v>
      </c>
      <c r="U174" s="56">
        <v>0</v>
      </c>
      <c r="V174" s="56">
        <v>0</v>
      </c>
      <c r="W174" s="56">
        <v>228023384.18</v>
      </c>
      <c r="X174" s="56">
        <v>417200000</v>
      </c>
      <c r="Y174" s="55" t="s">
        <v>563</v>
      </c>
    </row>
    <row r="175" spans="1:25">
      <c r="A175" s="55" t="s">
        <v>719</v>
      </c>
      <c r="B175" s="56">
        <v>3</v>
      </c>
      <c r="C175" s="56">
        <v>0</v>
      </c>
      <c r="D175" s="56">
        <v>0</v>
      </c>
      <c r="E175" s="56">
        <v>298000000</v>
      </c>
      <c r="F175" s="56">
        <v>135186608.3</v>
      </c>
      <c r="G175" s="56">
        <v>0</v>
      </c>
      <c r="H175" s="56">
        <v>298000000</v>
      </c>
      <c r="I175" s="56">
        <v>0</v>
      </c>
      <c r="J175" s="56">
        <v>116775537.9</v>
      </c>
      <c r="K175" s="56">
        <v>22.67</v>
      </c>
      <c r="L175" s="56">
        <v>0</v>
      </c>
      <c r="N175" s="56">
        <v>0</v>
      </c>
      <c r="O175" s="56">
        <v>1</v>
      </c>
      <c r="P175" s="56">
        <v>1</v>
      </c>
      <c r="Q175" s="56">
        <v>116775537.9</v>
      </c>
      <c r="R175" s="56">
        <v>940275068.62</v>
      </c>
      <c r="S175" s="56">
        <v>52</v>
      </c>
      <c r="T175" s="56">
        <v>660125405.96</v>
      </c>
      <c r="U175" s="56">
        <v>0</v>
      </c>
      <c r="V175" s="56">
        <v>0</v>
      </c>
      <c r="W175" s="56">
        <v>148150665.85</v>
      </c>
      <c r="X175" s="56">
        <v>298000000</v>
      </c>
      <c r="Y175" s="55" t="s">
        <v>272</v>
      </c>
    </row>
    <row r="176" spans="1:25">
      <c r="A176" s="55" t="s">
        <v>720</v>
      </c>
      <c r="B176" s="56">
        <v>18</v>
      </c>
      <c r="C176" s="56">
        <v>0</v>
      </c>
      <c r="D176" s="56">
        <v>0</v>
      </c>
      <c r="E176" s="56">
        <v>62431000</v>
      </c>
      <c r="F176" s="56">
        <v>28888512.16</v>
      </c>
      <c r="G176" s="56">
        <v>21795920.04</v>
      </c>
      <c r="H176" s="56">
        <v>144381000</v>
      </c>
      <c r="I176" s="56">
        <v>4015432.414</v>
      </c>
      <c r="J176" s="56">
        <v>76324936.87</v>
      </c>
      <c r="K176" s="56">
        <v>131.88</v>
      </c>
      <c r="L176" s="56">
        <v>8</v>
      </c>
      <c r="M176" s="56">
        <v>2</v>
      </c>
      <c r="N176" s="56">
        <v>8</v>
      </c>
      <c r="O176" s="56">
        <v>2</v>
      </c>
      <c r="P176" s="56">
        <v>2</v>
      </c>
      <c r="Q176" s="56">
        <v>98120856.91</v>
      </c>
      <c r="R176" s="56">
        <v>2289165563.43</v>
      </c>
      <c r="S176" s="56">
        <v>290</v>
      </c>
      <c r="T176" s="56">
        <v>2060325084.43</v>
      </c>
      <c r="U176" s="56">
        <v>0</v>
      </c>
      <c r="V176" s="56">
        <v>0</v>
      </c>
      <c r="W176" s="56">
        <v>39361926.63</v>
      </c>
      <c r="X176" s="56">
        <v>166176920.04</v>
      </c>
      <c r="Y176" s="55" t="s">
        <v>272</v>
      </c>
    </row>
    <row r="177" spans="1:25">
      <c r="A177" s="55" t="s">
        <v>721</v>
      </c>
      <c r="B177" s="56">
        <v>9</v>
      </c>
      <c r="C177" s="56">
        <v>0</v>
      </c>
      <c r="D177" s="56">
        <v>0</v>
      </c>
      <c r="E177" s="56">
        <v>596000000</v>
      </c>
      <c r="F177" s="56">
        <v>16123802.44</v>
      </c>
      <c r="G177" s="56">
        <v>0</v>
      </c>
      <c r="H177" s="56">
        <v>1212115000</v>
      </c>
      <c r="I177" s="56">
        <v>0</v>
      </c>
      <c r="J177" s="56">
        <v>540515203.1</v>
      </c>
      <c r="K177" s="56">
        <v>110.5</v>
      </c>
      <c r="M177" s="56">
        <v>1</v>
      </c>
      <c r="N177" s="56">
        <v>0</v>
      </c>
      <c r="O177" s="56">
        <v>1</v>
      </c>
      <c r="P177" s="56">
        <v>1</v>
      </c>
      <c r="Q177" s="56">
        <v>540515203.1</v>
      </c>
      <c r="R177" s="56">
        <v>1866225000</v>
      </c>
      <c r="S177" s="56">
        <v>259</v>
      </c>
      <c r="T177" s="56">
        <v>540515203.1</v>
      </c>
      <c r="U177" s="56">
        <v>0</v>
      </c>
      <c r="V177" s="56">
        <v>0</v>
      </c>
      <c r="W177" s="56">
        <v>27025760.16</v>
      </c>
      <c r="X177" s="56">
        <v>1212115000</v>
      </c>
      <c r="Y177" s="55" t="s">
        <v>272</v>
      </c>
    </row>
    <row r="178" spans="1:25">
      <c r="A178" s="55" t="s">
        <v>722</v>
      </c>
      <c r="B178" s="56">
        <v>3</v>
      </c>
      <c r="C178" s="56">
        <v>0</v>
      </c>
      <c r="D178" s="56">
        <v>0</v>
      </c>
      <c r="E178" s="56">
        <v>435080000</v>
      </c>
      <c r="F178" s="56">
        <v>8698627.314999999</v>
      </c>
      <c r="G178" s="56">
        <v>0</v>
      </c>
      <c r="H178" s="56">
        <v>658580000</v>
      </c>
      <c r="I178" s="56">
        <v>0</v>
      </c>
      <c r="J178" s="56">
        <v>14627253.24</v>
      </c>
      <c r="K178" s="56">
        <v>50.5</v>
      </c>
      <c r="N178" s="56">
        <v>0</v>
      </c>
      <c r="O178" s="56">
        <v>1</v>
      </c>
      <c r="P178" s="56">
        <v>1</v>
      </c>
      <c r="Q178" s="56">
        <v>14627253.24</v>
      </c>
      <c r="R178" s="56">
        <v>658580000</v>
      </c>
      <c r="S178" s="56">
        <v>133</v>
      </c>
      <c r="T178" s="56">
        <v>14627253.24</v>
      </c>
      <c r="U178" s="56">
        <v>0</v>
      </c>
      <c r="V178" s="56">
        <v>0</v>
      </c>
      <c r="W178" s="56">
        <v>731362.66</v>
      </c>
      <c r="X178" s="56">
        <v>658580000</v>
      </c>
      <c r="Y178" s="55" t="s">
        <v>272</v>
      </c>
    </row>
    <row r="179" spans="1:25">
      <c r="A179" s="55" t="s">
        <v>723</v>
      </c>
      <c r="B179" s="56">
        <v>1</v>
      </c>
      <c r="C179" s="56">
        <v>0</v>
      </c>
      <c r="D179" s="56">
        <v>0</v>
      </c>
      <c r="G179" s="56">
        <v>0</v>
      </c>
      <c r="H179" s="56">
        <v>0</v>
      </c>
      <c r="I179" s="56">
        <v>0</v>
      </c>
      <c r="J179" s="56">
        <v>0</v>
      </c>
      <c r="M179" s="56">
        <v>1</v>
      </c>
      <c r="N179" s="56">
        <v>0</v>
      </c>
      <c r="O179" s="56">
        <v>1</v>
      </c>
      <c r="P179" s="56">
        <v>1</v>
      </c>
      <c r="Q179" s="56">
        <v>0</v>
      </c>
      <c r="R179" s="56">
        <v>0</v>
      </c>
      <c r="S179" s="56">
        <v>3</v>
      </c>
      <c r="T179" s="56">
        <v>0</v>
      </c>
      <c r="U179" s="56">
        <v>0</v>
      </c>
      <c r="V179" s="56">
        <v>0</v>
      </c>
      <c r="W179" s="56">
        <v>0</v>
      </c>
      <c r="X179" s="56">
        <v>0</v>
      </c>
      <c r="Y179" s="55" t="s">
        <v>272</v>
      </c>
    </row>
    <row r="180" spans="1:25">
      <c r="A180" s="55" t="s">
        <v>724</v>
      </c>
      <c r="B180" s="56">
        <v>11</v>
      </c>
      <c r="C180" s="56">
        <v>0</v>
      </c>
      <c r="D180" s="56">
        <v>0</v>
      </c>
      <c r="E180" s="56">
        <v>357600000</v>
      </c>
      <c r="F180" s="56">
        <v>6409135.037</v>
      </c>
      <c r="G180" s="56">
        <v>0</v>
      </c>
      <c r="H180" s="56">
        <v>555770000</v>
      </c>
      <c r="I180" s="56">
        <v>0</v>
      </c>
      <c r="J180" s="56">
        <v>55281431.73999999</v>
      </c>
      <c r="K180" s="56">
        <v>172</v>
      </c>
      <c r="M180" s="56">
        <v>1</v>
      </c>
      <c r="N180" s="56">
        <v>0</v>
      </c>
      <c r="O180" s="56">
        <v>1</v>
      </c>
      <c r="P180" s="56">
        <v>1</v>
      </c>
      <c r="Q180" s="56">
        <v>55281431.73999999</v>
      </c>
      <c r="R180" s="56">
        <v>2195418954.64</v>
      </c>
      <c r="S180" s="56">
        <v>184</v>
      </c>
      <c r="T180" s="56">
        <v>55281431.73999999</v>
      </c>
      <c r="U180" s="56">
        <v>0</v>
      </c>
      <c r="V180" s="56">
        <v>0</v>
      </c>
      <c r="W180" s="56">
        <v>2764071.59</v>
      </c>
      <c r="X180" s="56">
        <v>555770000</v>
      </c>
      <c r="Y180" s="55" t="s">
        <v>272</v>
      </c>
    </row>
    <row r="181" spans="1:25">
      <c r="A181" s="55" t="s">
        <v>725</v>
      </c>
      <c r="B181" s="56">
        <v>6</v>
      </c>
      <c r="C181" s="56">
        <v>0</v>
      </c>
      <c r="D181" s="56">
        <v>0</v>
      </c>
      <c r="E181" s="56">
        <v>83440000</v>
      </c>
      <c r="F181" s="56">
        <v>1430608.968</v>
      </c>
      <c r="G181" s="56">
        <v>0</v>
      </c>
      <c r="H181" s="56">
        <v>195190000</v>
      </c>
      <c r="I181" s="56">
        <v>0</v>
      </c>
      <c r="J181" s="56">
        <v>9287443.15</v>
      </c>
      <c r="K181" s="56">
        <v>88</v>
      </c>
      <c r="N181" s="56">
        <v>0</v>
      </c>
      <c r="O181" s="56">
        <v>1</v>
      </c>
      <c r="P181" s="56">
        <v>2</v>
      </c>
      <c r="Q181" s="56">
        <v>9287443.15</v>
      </c>
      <c r="R181" s="56">
        <v>568749390</v>
      </c>
      <c r="S181" s="56">
        <v>159</v>
      </c>
      <c r="T181" s="56">
        <v>9287443.15</v>
      </c>
      <c r="U181" s="56">
        <v>1</v>
      </c>
      <c r="V181" s="56">
        <v>0</v>
      </c>
      <c r="W181" s="56">
        <v>464372.16</v>
      </c>
      <c r="X181" s="56">
        <v>195190000</v>
      </c>
      <c r="Y181" s="55" t="s">
        <v>272</v>
      </c>
    </row>
    <row r="182" spans="1:25">
      <c r="A182" s="55" t="s">
        <v>726</v>
      </c>
      <c r="B182" s="56">
        <v>18</v>
      </c>
      <c r="C182" s="56">
        <v>0</v>
      </c>
      <c r="D182" s="56">
        <v>2</v>
      </c>
      <c r="F182" s="56">
        <v>4394291.612</v>
      </c>
      <c r="G182" s="56">
        <v>0</v>
      </c>
      <c r="H182" s="56">
        <v>0</v>
      </c>
      <c r="I182" s="56">
        <v>0</v>
      </c>
      <c r="J182" s="56">
        <v>0</v>
      </c>
      <c r="K182" s="56">
        <v>4</v>
      </c>
      <c r="L182" s="56">
        <v>1355</v>
      </c>
      <c r="M182" s="56">
        <v>2</v>
      </c>
      <c r="N182" s="56">
        <v>1355</v>
      </c>
      <c r="O182" s="56">
        <v>5</v>
      </c>
      <c r="P182" s="56">
        <v>5</v>
      </c>
      <c r="Q182" s="56">
        <v>6868906.380000001</v>
      </c>
      <c r="R182" s="56">
        <v>275147184.6000001</v>
      </c>
      <c r="S182" s="56">
        <v>94</v>
      </c>
      <c r="T182" s="56">
        <v>168541107.88</v>
      </c>
      <c r="U182" s="56">
        <v>0</v>
      </c>
      <c r="V182" s="56">
        <v>0</v>
      </c>
      <c r="W182" s="56">
        <v>4394291.61</v>
      </c>
      <c r="X182" s="56">
        <v>0</v>
      </c>
      <c r="Y182" s="55" t="s">
        <v>546</v>
      </c>
    </row>
    <row r="183" spans="1:25">
      <c r="A183" s="55" t="s">
        <v>727</v>
      </c>
      <c r="B183" s="56">
        <v>4</v>
      </c>
      <c r="C183" s="56">
        <v>0</v>
      </c>
      <c r="D183" s="56">
        <v>0</v>
      </c>
      <c r="E183" s="56">
        <v>298000000</v>
      </c>
      <c r="F183" s="56">
        <v>6046425.917</v>
      </c>
      <c r="G183" s="56">
        <v>0</v>
      </c>
      <c r="H183" s="56">
        <v>521500000</v>
      </c>
      <c r="I183" s="56">
        <v>0</v>
      </c>
      <c r="J183" s="56">
        <v>0</v>
      </c>
      <c r="K183" s="56">
        <v>126</v>
      </c>
      <c r="N183" s="56">
        <v>0</v>
      </c>
      <c r="O183" s="56">
        <v>1</v>
      </c>
      <c r="P183" s="56">
        <v>1</v>
      </c>
      <c r="Q183" s="56">
        <v>0</v>
      </c>
      <c r="R183" s="56">
        <v>563220000</v>
      </c>
      <c r="S183" s="56">
        <v>230</v>
      </c>
      <c r="T183" s="56">
        <v>0</v>
      </c>
      <c r="U183" s="56">
        <v>0</v>
      </c>
      <c r="V183" s="56">
        <v>0</v>
      </c>
      <c r="W183" s="56">
        <v>0</v>
      </c>
      <c r="X183" s="56">
        <v>521500000</v>
      </c>
      <c r="Y183" s="55" t="s">
        <v>272</v>
      </c>
    </row>
    <row r="184" spans="1:25">
      <c r="A184" s="55" t="s">
        <v>728</v>
      </c>
      <c r="B184" s="56">
        <v>89</v>
      </c>
      <c r="C184" s="56">
        <v>1</v>
      </c>
      <c r="D184" s="56">
        <v>5</v>
      </c>
      <c r="F184" s="56">
        <v>5283993.124</v>
      </c>
      <c r="G184" s="56">
        <v>0</v>
      </c>
      <c r="H184" s="56">
        <v>0</v>
      </c>
      <c r="I184" s="56">
        <v>0</v>
      </c>
      <c r="J184" s="56">
        <v>0</v>
      </c>
      <c r="K184" s="56">
        <v>103</v>
      </c>
      <c r="L184" s="56">
        <v>299</v>
      </c>
      <c r="M184" s="56">
        <v>3</v>
      </c>
      <c r="N184" s="56">
        <v>405</v>
      </c>
      <c r="O184" s="56">
        <v>5</v>
      </c>
      <c r="P184" s="56">
        <v>5</v>
      </c>
      <c r="Q184" s="56">
        <v>6314377.05</v>
      </c>
      <c r="R184" s="56">
        <v>179378413.54</v>
      </c>
      <c r="S184" s="56">
        <v>103</v>
      </c>
      <c r="T184" s="56">
        <v>170851666.45</v>
      </c>
      <c r="U184" s="56">
        <v>1</v>
      </c>
      <c r="V184" s="56">
        <v>0</v>
      </c>
      <c r="W184" s="56">
        <v>5283993.12</v>
      </c>
      <c r="X184" s="56">
        <v>0</v>
      </c>
      <c r="Y184" s="55" t="s">
        <v>546</v>
      </c>
    </row>
    <row r="185" spans="1:25">
      <c r="A185" s="55" t="s">
        <v>729</v>
      </c>
      <c r="B185" s="56">
        <v>9</v>
      </c>
      <c r="C185" s="56">
        <v>0</v>
      </c>
      <c r="D185" s="56">
        <v>0</v>
      </c>
      <c r="E185" s="56">
        <v>238400000</v>
      </c>
      <c r="F185" s="56">
        <v>41799160.77</v>
      </c>
      <c r="G185" s="56">
        <v>0</v>
      </c>
      <c r="H185" s="56">
        <v>268200000</v>
      </c>
      <c r="I185" s="56">
        <v>0</v>
      </c>
      <c r="J185" s="56">
        <v>808773</v>
      </c>
      <c r="K185" s="56">
        <v>25.2</v>
      </c>
      <c r="M185" s="56">
        <v>1</v>
      </c>
      <c r="N185" s="56">
        <v>12</v>
      </c>
      <c r="O185" s="56">
        <v>2</v>
      </c>
      <c r="P185" s="56">
        <v>2</v>
      </c>
      <c r="Q185" s="56">
        <v>808773</v>
      </c>
      <c r="R185" s="56">
        <v>7407610741.19</v>
      </c>
      <c r="S185" s="56">
        <v>198</v>
      </c>
      <c r="T185" s="56">
        <v>2035226826.5</v>
      </c>
      <c r="U185" s="56">
        <v>1</v>
      </c>
      <c r="V185" s="56">
        <v>2</v>
      </c>
      <c r="W185" s="56">
        <v>54909802.8</v>
      </c>
      <c r="X185" s="56">
        <v>268200000</v>
      </c>
      <c r="Y185" s="55" t="s">
        <v>563</v>
      </c>
    </row>
    <row r="186" spans="1:25">
      <c r="A186" s="55" t="s">
        <v>730</v>
      </c>
      <c r="B186" s="56">
        <v>16</v>
      </c>
      <c r="C186" s="56">
        <v>0</v>
      </c>
      <c r="D186" s="56">
        <v>0</v>
      </c>
      <c r="E186" s="56">
        <v>435080000</v>
      </c>
      <c r="F186" s="56">
        <v>65797720.33</v>
      </c>
      <c r="G186" s="56">
        <v>0</v>
      </c>
      <c r="H186" s="56">
        <v>701045000</v>
      </c>
      <c r="I186" s="56">
        <v>5729137.289</v>
      </c>
      <c r="J186" s="56">
        <v>0</v>
      </c>
      <c r="K186" s="56">
        <v>84.17</v>
      </c>
      <c r="L186" s="56">
        <v>0</v>
      </c>
      <c r="M186" s="56">
        <v>1</v>
      </c>
      <c r="N186" s="56">
        <v>0</v>
      </c>
      <c r="O186" s="56">
        <v>1</v>
      </c>
      <c r="P186" s="56">
        <v>1</v>
      </c>
      <c r="Q186" s="56">
        <v>0</v>
      </c>
      <c r="R186" s="56">
        <v>4022629407.08</v>
      </c>
      <c r="S186" s="56">
        <v>271</v>
      </c>
      <c r="T186" s="56">
        <v>1834828532.4</v>
      </c>
      <c r="U186" s="56">
        <v>0</v>
      </c>
      <c r="V186" s="56">
        <v>0</v>
      </c>
      <c r="W186" s="56">
        <v>129598386.52</v>
      </c>
      <c r="X186" s="56">
        <v>701045000</v>
      </c>
      <c r="Y186" s="55" t="s">
        <v>272</v>
      </c>
    </row>
    <row r="187" spans="1:25">
      <c r="A187" s="55" t="s">
        <v>731</v>
      </c>
      <c r="B187" s="56">
        <v>1</v>
      </c>
      <c r="C187" s="56">
        <v>0</v>
      </c>
      <c r="D187" s="56">
        <v>0</v>
      </c>
      <c r="E187" s="56">
        <v>11920000</v>
      </c>
      <c r="F187" s="56">
        <v>262592.7822</v>
      </c>
      <c r="G187" s="56">
        <v>0</v>
      </c>
      <c r="H187" s="56">
        <v>11920000</v>
      </c>
      <c r="I187" s="56">
        <v>0</v>
      </c>
      <c r="J187" s="56">
        <v>0</v>
      </c>
      <c r="K187" s="56">
        <v>2</v>
      </c>
      <c r="N187" s="56">
        <v>0</v>
      </c>
      <c r="O187" s="56">
        <v>1</v>
      </c>
      <c r="P187" s="56">
        <v>1</v>
      </c>
      <c r="Q187" s="56">
        <v>0</v>
      </c>
      <c r="R187" s="56">
        <v>11920000</v>
      </c>
      <c r="S187" s="56">
        <v>2</v>
      </c>
      <c r="T187" s="56">
        <v>0</v>
      </c>
      <c r="U187" s="56">
        <v>0</v>
      </c>
      <c r="V187" s="56">
        <v>0</v>
      </c>
      <c r="W187" s="56">
        <v>0</v>
      </c>
      <c r="X187" s="56">
        <v>11920000</v>
      </c>
      <c r="Y187" s="55" t="s">
        <v>272</v>
      </c>
    </row>
    <row r="188" spans="1:25">
      <c r="A188" s="55" t="s">
        <v>732</v>
      </c>
      <c r="B188" s="56">
        <v>2</v>
      </c>
      <c r="C188" s="56">
        <v>0</v>
      </c>
      <c r="D188" s="56">
        <v>0</v>
      </c>
      <c r="E188" s="56">
        <v>28310000</v>
      </c>
      <c r="F188" s="56">
        <v>518246.3335</v>
      </c>
      <c r="G188" s="56">
        <v>0</v>
      </c>
      <c r="H188" s="56">
        <v>28310000</v>
      </c>
      <c r="I188" s="56">
        <v>0</v>
      </c>
      <c r="J188" s="56">
        <v>17709250.86</v>
      </c>
      <c r="K188" s="56">
        <v>125</v>
      </c>
      <c r="N188" s="56">
        <v>0</v>
      </c>
      <c r="O188" s="56">
        <v>1</v>
      </c>
      <c r="P188" s="56">
        <v>1</v>
      </c>
      <c r="Q188" s="56">
        <v>17709250.86</v>
      </c>
      <c r="R188" s="56">
        <v>40230000</v>
      </c>
      <c r="S188" s="56">
        <v>125</v>
      </c>
      <c r="T188" s="56">
        <v>17709250.86</v>
      </c>
      <c r="U188" s="56">
        <v>0</v>
      </c>
      <c r="V188" s="56">
        <v>0</v>
      </c>
      <c r="W188" s="56">
        <v>885462.54</v>
      </c>
      <c r="X188" s="56">
        <v>28310000</v>
      </c>
      <c r="Y188" s="55" t="s">
        <v>272</v>
      </c>
    </row>
    <row r="189" spans="1:25">
      <c r="A189" s="55" t="s">
        <v>733</v>
      </c>
      <c r="B189" s="56">
        <v>11</v>
      </c>
      <c r="C189" s="56">
        <v>0</v>
      </c>
      <c r="D189" s="56">
        <v>0</v>
      </c>
      <c r="E189" s="56">
        <v>125160000</v>
      </c>
      <c r="F189" s="56">
        <v>2247545.305</v>
      </c>
      <c r="G189" s="56">
        <v>0</v>
      </c>
      <c r="H189" s="56">
        <v>222755000</v>
      </c>
      <c r="I189" s="56">
        <v>0</v>
      </c>
      <c r="J189" s="56">
        <v>75218678.21000001</v>
      </c>
      <c r="K189" s="56">
        <v>190.33</v>
      </c>
      <c r="M189" s="56">
        <v>1</v>
      </c>
      <c r="N189" s="56">
        <v>0</v>
      </c>
      <c r="O189" s="56">
        <v>1</v>
      </c>
      <c r="P189" s="56">
        <v>1</v>
      </c>
      <c r="Q189" s="56">
        <v>75218678.21000001</v>
      </c>
      <c r="R189" s="56">
        <v>454897000</v>
      </c>
      <c r="S189" s="56">
        <v>323</v>
      </c>
      <c r="T189" s="56">
        <v>75218678.21000001</v>
      </c>
      <c r="U189" s="56">
        <v>0</v>
      </c>
      <c r="V189" s="56">
        <v>0</v>
      </c>
      <c r="W189" s="56">
        <v>3760933.91</v>
      </c>
      <c r="X189" s="56">
        <v>222755000</v>
      </c>
      <c r="Y189" s="55" t="s">
        <v>272</v>
      </c>
    </row>
    <row r="190" spans="1:25">
      <c r="A190" s="55" t="s">
        <v>734</v>
      </c>
      <c r="B190" s="56">
        <v>95</v>
      </c>
      <c r="C190" s="56">
        <v>0</v>
      </c>
      <c r="D190" s="56">
        <v>0</v>
      </c>
      <c r="E190" s="56">
        <v>7450000</v>
      </c>
      <c r="F190" s="56">
        <v>3257593.28</v>
      </c>
      <c r="G190" s="56">
        <v>88167051.55</v>
      </c>
      <c r="H190" s="56">
        <v>7450000</v>
      </c>
      <c r="I190" s="56">
        <v>18031837.822076</v>
      </c>
      <c r="J190" s="56">
        <v>5332140.36</v>
      </c>
      <c r="K190" s="56">
        <v>6.06</v>
      </c>
      <c r="L190" s="56">
        <v>0</v>
      </c>
      <c r="M190" s="56">
        <v>1</v>
      </c>
      <c r="N190" s="56">
        <v>0</v>
      </c>
      <c r="O190" s="56">
        <v>1</v>
      </c>
      <c r="P190" s="56">
        <v>1</v>
      </c>
      <c r="Q190" s="56">
        <v>93499191.91</v>
      </c>
      <c r="R190" s="56">
        <v>137962161.95</v>
      </c>
      <c r="S190" s="56">
        <v>90</v>
      </c>
      <c r="T190" s="56">
        <v>93499191.91</v>
      </c>
      <c r="U190" s="56">
        <v>0</v>
      </c>
      <c r="V190" s="56">
        <v>0</v>
      </c>
      <c r="W190" s="56">
        <v>18298444.84</v>
      </c>
      <c r="X190" s="56">
        <v>95617051.55</v>
      </c>
      <c r="Y190" s="55" t="s">
        <v>272</v>
      </c>
    </row>
    <row r="191" spans="1:25">
      <c r="A191" s="55" t="s">
        <v>735</v>
      </c>
      <c r="B191" s="56">
        <v>2</v>
      </c>
      <c r="C191" s="56">
        <v>0</v>
      </c>
      <c r="D191" s="56">
        <v>0</v>
      </c>
      <c r="E191" s="56">
        <v>149000000</v>
      </c>
      <c r="F191" s="56">
        <v>2251439.339</v>
      </c>
      <c r="G191" s="56">
        <v>0</v>
      </c>
      <c r="H191" s="56">
        <v>149000000</v>
      </c>
      <c r="I191" s="56">
        <v>0</v>
      </c>
      <c r="J191" s="56">
        <v>82632373.2</v>
      </c>
      <c r="K191" s="56">
        <v>54</v>
      </c>
      <c r="N191" s="56">
        <v>0</v>
      </c>
      <c r="O191" s="56">
        <v>1</v>
      </c>
      <c r="P191" s="56">
        <v>1</v>
      </c>
      <c r="Q191" s="56">
        <v>82632373.2</v>
      </c>
      <c r="R191" s="56">
        <v>164645000</v>
      </c>
      <c r="S191" s="56">
        <v>127</v>
      </c>
      <c r="T191" s="56">
        <v>82632373.2</v>
      </c>
      <c r="U191" s="56">
        <v>0</v>
      </c>
      <c r="V191" s="56">
        <v>0</v>
      </c>
      <c r="W191" s="56">
        <v>4131618.66</v>
      </c>
      <c r="X191" s="56">
        <v>149000000</v>
      </c>
      <c r="Y191" s="55" t="s">
        <v>272</v>
      </c>
    </row>
    <row r="192" spans="1:25">
      <c r="A192" s="55" t="s">
        <v>736</v>
      </c>
      <c r="B192" s="56">
        <v>6</v>
      </c>
      <c r="C192" s="56">
        <v>0</v>
      </c>
      <c r="D192" s="56">
        <v>0</v>
      </c>
      <c r="E192" s="56">
        <v>29800000</v>
      </c>
      <c r="F192" s="56">
        <v>10684853.21</v>
      </c>
      <c r="G192" s="56">
        <v>0</v>
      </c>
      <c r="H192" s="56">
        <v>55130000</v>
      </c>
      <c r="I192" s="56">
        <v>0</v>
      </c>
      <c r="J192" s="56">
        <v>9110741.15</v>
      </c>
      <c r="K192" s="56">
        <v>27.25</v>
      </c>
      <c r="L192" s="56">
        <v>0</v>
      </c>
      <c r="M192" s="56">
        <v>1</v>
      </c>
      <c r="N192" s="56">
        <v>0</v>
      </c>
      <c r="O192" s="56">
        <v>1</v>
      </c>
      <c r="P192" s="56">
        <v>1</v>
      </c>
      <c r="Q192" s="56">
        <v>9110741.15</v>
      </c>
      <c r="R192" s="56">
        <v>1763277881.56</v>
      </c>
      <c r="S192" s="56">
        <v>55</v>
      </c>
      <c r="T192" s="56">
        <v>1381298177.15</v>
      </c>
      <c r="U192" s="56">
        <v>0</v>
      </c>
      <c r="V192" s="56">
        <v>0</v>
      </c>
      <c r="W192" s="56">
        <v>11140390.27</v>
      </c>
      <c r="X192" s="56">
        <v>55130000</v>
      </c>
      <c r="Y192" s="55" t="s">
        <v>272</v>
      </c>
    </row>
    <row r="193" spans="1:25">
      <c r="A193" s="55" t="s">
        <v>737</v>
      </c>
      <c r="B193" s="56">
        <v>225</v>
      </c>
      <c r="C193" s="56">
        <v>0</v>
      </c>
      <c r="D193" s="56">
        <v>2</v>
      </c>
      <c r="F193" s="56">
        <v>6878909.36</v>
      </c>
      <c r="G193" s="56">
        <v>666810.48</v>
      </c>
      <c r="H193" s="56">
        <v>0</v>
      </c>
      <c r="I193" s="56">
        <v>289439.03226</v>
      </c>
      <c r="J193" s="56">
        <v>0</v>
      </c>
      <c r="K193" s="56">
        <v>8.57</v>
      </c>
      <c r="L193" s="56">
        <v>63</v>
      </c>
      <c r="M193" s="56">
        <v>2</v>
      </c>
      <c r="N193" s="56">
        <v>123</v>
      </c>
      <c r="O193" s="56">
        <v>5</v>
      </c>
      <c r="P193" s="56">
        <v>5</v>
      </c>
      <c r="Q193" s="56">
        <v>28005588.78</v>
      </c>
      <c r="R193" s="56">
        <v>485840652.45</v>
      </c>
      <c r="S193" s="56">
        <v>91</v>
      </c>
      <c r="T193" s="56">
        <v>319281291.53</v>
      </c>
      <c r="U193" s="56">
        <v>1</v>
      </c>
      <c r="V193" s="56">
        <v>0</v>
      </c>
      <c r="W193" s="56">
        <v>11322415.73</v>
      </c>
      <c r="X193" s="56">
        <v>666810.48</v>
      </c>
      <c r="Y193" s="55" t="s">
        <v>546</v>
      </c>
    </row>
    <row r="194" spans="1:25">
      <c r="A194" s="55" t="s">
        <v>738</v>
      </c>
      <c r="B194" s="56">
        <v>6</v>
      </c>
      <c r="C194" s="56">
        <v>0</v>
      </c>
      <c r="D194" s="56">
        <v>0</v>
      </c>
      <c r="E194" s="56">
        <v>7450000</v>
      </c>
      <c r="F194" s="56">
        <v>1204615.677</v>
      </c>
      <c r="G194" s="56">
        <v>0</v>
      </c>
      <c r="H194" s="56">
        <v>7450000</v>
      </c>
      <c r="I194" s="56">
        <v>0</v>
      </c>
      <c r="J194" s="56">
        <v>626700.36</v>
      </c>
      <c r="K194" s="56">
        <v>85</v>
      </c>
      <c r="N194" s="56">
        <v>0</v>
      </c>
      <c r="O194" s="56">
        <v>1</v>
      </c>
      <c r="P194" s="56">
        <v>1</v>
      </c>
      <c r="Q194" s="56">
        <v>626700.36</v>
      </c>
      <c r="R194" s="56">
        <v>220520000</v>
      </c>
      <c r="S194" s="56">
        <v>108</v>
      </c>
      <c r="T194" s="56">
        <v>109658294.36</v>
      </c>
      <c r="U194" s="56">
        <v>0</v>
      </c>
      <c r="V194" s="56">
        <v>0</v>
      </c>
      <c r="W194" s="56">
        <v>1235950.69</v>
      </c>
      <c r="X194" s="56">
        <v>7450000</v>
      </c>
      <c r="Y194" s="55" t="s">
        <v>272</v>
      </c>
    </row>
    <row r="195" spans="1:25">
      <c r="A195" s="55" t="s">
        <v>739</v>
      </c>
      <c r="B195" s="56">
        <v>50</v>
      </c>
      <c r="C195" s="56">
        <v>0</v>
      </c>
      <c r="D195" s="56">
        <v>0</v>
      </c>
      <c r="F195" s="56">
        <v>47739.60827</v>
      </c>
      <c r="G195" s="56">
        <v>128254.15</v>
      </c>
      <c r="H195" s="56">
        <v>0</v>
      </c>
      <c r="I195" s="56">
        <v>85123.28511</v>
      </c>
      <c r="J195" s="56">
        <v>0</v>
      </c>
      <c r="K195" s="56">
        <v>1</v>
      </c>
      <c r="L195" s="56">
        <v>0</v>
      </c>
      <c r="M195" s="56">
        <v>1</v>
      </c>
      <c r="N195" s="56">
        <v>0</v>
      </c>
      <c r="O195" s="56">
        <v>1</v>
      </c>
      <c r="P195" s="56">
        <v>1</v>
      </c>
      <c r="Q195" s="56">
        <v>128254.15</v>
      </c>
      <c r="R195" s="56">
        <v>169852.55</v>
      </c>
      <c r="S195" s="56">
        <v>32</v>
      </c>
      <c r="T195" s="56">
        <v>128254.15</v>
      </c>
      <c r="U195" s="56">
        <v>0</v>
      </c>
      <c r="V195" s="56">
        <v>0</v>
      </c>
      <c r="W195" s="56">
        <v>85123.28999999999</v>
      </c>
      <c r="X195" s="56">
        <v>128254.15</v>
      </c>
      <c r="Y195" s="55" t="s">
        <v>272</v>
      </c>
    </row>
    <row r="196" spans="1:25">
      <c r="A196" s="55" t="s">
        <v>740</v>
      </c>
      <c r="B196" s="56">
        <v>2</v>
      </c>
      <c r="C196" s="56">
        <v>0</v>
      </c>
      <c r="D196" s="56">
        <v>0</v>
      </c>
      <c r="E196" s="56">
        <v>59600000</v>
      </c>
      <c r="F196" s="56">
        <v>1612380.244</v>
      </c>
      <c r="G196" s="56">
        <v>0</v>
      </c>
      <c r="H196" s="56">
        <v>59600000</v>
      </c>
      <c r="I196" s="56">
        <v>0</v>
      </c>
      <c r="J196" s="56">
        <v>0</v>
      </c>
      <c r="K196" s="56">
        <v>10</v>
      </c>
      <c r="M196" s="56">
        <v>1</v>
      </c>
      <c r="N196" s="56">
        <v>0</v>
      </c>
      <c r="O196" s="56">
        <v>1</v>
      </c>
      <c r="P196" s="56">
        <v>1</v>
      </c>
      <c r="Q196" s="56">
        <v>0</v>
      </c>
      <c r="R196" s="56">
        <v>59600000</v>
      </c>
      <c r="S196" s="56">
        <v>13</v>
      </c>
      <c r="T196" s="56">
        <v>0</v>
      </c>
      <c r="U196" s="56">
        <v>0</v>
      </c>
      <c r="V196" s="56">
        <v>0</v>
      </c>
      <c r="W196" s="56">
        <v>0</v>
      </c>
      <c r="X196" s="56">
        <v>59600000</v>
      </c>
      <c r="Y196" s="55" t="s">
        <v>272</v>
      </c>
    </row>
    <row r="197" spans="1:25">
      <c r="A197" s="55" t="s">
        <v>741</v>
      </c>
      <c r="B197" s="56">
        <v>6</v>
      </c>
      <c r="C197" s="56">
        <v>0</v>
      </c>
      <c r="D197" s="56">
        <v>0</v>
      </c>
      <c r="E197" s="56">
        <v>29800000</v>
      </c>
      <c r="F197" s="56">
        <v>633591.3857</v>
      </c>
      <c r="G197" s="56">
        <v>0</v>
      </c>
      <c r="H197" s="56">
        <v>89400000</v>
      </c>
      <c r="I197" s="56">
        <v>0</v>
      </c>
      <c r="J197" s="56">
        <v>2251541.15</v>
      </c>
      <c r="K197" s="56">
        <v>14.67</v>
      </c>
      <c r="N197" s="56">
        <v>0</v>
      </c>
      <c r="O197" s="56">
        <v>1</v>
      </c>
      <c r="P197" s="56">
        <v>1</v>
      </c>
      <c r="Q197" s="56">
        <v>2251541.15</v>
      </c>
      <c r="R197" s="56">
        <v>312900000</v>
      </c>
      <c r="S197" s="56">
        <v>121</v>
      </c>
      <c r="T197" s="56">
        <v>2251541.15</v>
      </c>
      <c r="U197" s="56">
        <v>0</v>
      </c>
      <c r="V197" s="56">
        <v>0</v>
      </c>
      <c r="W197" s="56">
        <v>112577.06</v>
      </c>
      <c r="X197" s="56">
        <v>89400000</v>
      </c>
      <c r="Y197" s="55" t="s">
        <v>272</v>
      </c>
    </row>
    <row r="198" spans="1:25">
      <c r="A198" s="55" t="s">
        <v>742</v>
      </c>
      <c r="B198" s="56">
        <v>7</v>
      </c>
      <c r="C198" s="56">
        <v>0</v>
      </c>
      <c r="D198" s="56">
        <v>0</v>
      </c>
      <c r="E198" s="56">
        <v>126650000</v>
      </c>
      <c r="F198" s="56">
        <v>2171460.04</v>
      </c>
      <c r="G198" s="56">
        <v>0</v>
      </c>
      <c r="H198" s="56">
        <v>126650000</v>
      </c>
      <c r="I198" s="56">
        <v>0</v>
      </c>
      <c r="J198" s="56">
        <v>1597512.56</v>
      </c>
      <c r="K198" s="56">
        <v>87</v>
      </c>
      <c r="N198" s="56">
        <v>0</v>
      </c>
      <c r="O198" s="56">
        <v>1</v>
      </c>
      <c r="P198" s="56">
        <v>1</v>
      </c>
      <c r="Q198" s="56">
        <v>1597512.56</v>
      </c>
      <c r="R198" s="56">
        <v>229460000</v>
      </c>
      <c r="S198" s="56">
        <v>218</v>
      </c>
      <c r="T198" s="56">
        <v>1597512.56</v>
      </c>
      <c r="U198" s="56">
        <v>0</v>
      </c>
      <c r="V198" s="56">
        <v>0</v>
      </c>
      <c r="W198" s="56">
        <v>79875.63</v>
      </c>
      <c r="X198" s="56">
        <v>126650000</v>
      </c>
      <c r="Y198" s="55" t="s">
        <v>272</v>
      </c>
    </row>
    <row r="199" spans="1:25">
      <c r="A199" s="55" t="s">
        <v>743</v>
      </c>
      <c r="B199" s="56">
        <v>8</v>
      </c>
      <c r="C199" s="56">
        <v>0</v>
      </c>
      <c r="D199" s="56">
        <v>0</v>
      </c>
      <c r="E199" s="56">
        <v>13410000</v>
      </c>
      <c r="F199" s="56">
        <v>289401.3424</v>
      </c>
      <c r="G199" s="56">
        <v>0</v>
      </c>
      <c r="H199" s="56">
        <v>25330000</v>
      </c>
      <c r="I199" s="56">
        <v>0</v>
      </c>
      <c r="J199" s="56">
        <v>441930.32</v>
      </c>
      <c r="K199" s="56">
        <v>70.5</v>
      </c>
      <c r="N199" s="56">
        <v>0</v>
      </c>
      <c r="O199" s="56">
        <v>1</v>
      </c>
      <c r="P199" s="56">
        <v>1</v>
      </c>
      <c r="Q199" s="56">
        <v>441930.32</v>
      </c>
      <c r="R199" s="56">
        <v>41382722.11</v>
      </c>
      <c r="S199" s="56">
        <v>96</v>
      </c>
      <c r="T199" s="56">
        <v>441930.32</v>
      </c>
      <c r="U199" s="56">
        <v>0</v>
      </c>
      <c r="V199" s="56">
        <v>0</v>
      </c>
      <c r="W199" s="56">
        <v>22096.52</v>
      </c>
      <c r="X199" s="56">
        <v>25330000</v>
      </c>
      <c r="Y199" s="55" t="s">
        <v>272</v>
      </c>
    </row>
    <row r="200" spans="1:25">
      <c r="A200" s="55" t="s">
        <v>744</v>
      </c>
      <c r="B200" s="56">
        <v>3</v>
      </c>
      <c r="C200" s="56">
        <v>0</v>
      </c>
      <c r="D200" s="56">
        <v>0</v>
      </c>
      <c r="E200" s="56">
        <v>22350000</v>
      </c>
      <c r="F200" s="56">
        <v>604642.5917</v>
      </c>
      <c r="G200" s="56">
        <v>0</v>
      </c>
      <c r="H200" s="56">
        <v>26820000</v>
      </c>
      <c r="I200" s="56">
        <v>0</v>
      </c>
      <c r="J200" s="56">
        <v>13791948.36</v>
      </c>
      <c r="K200" s="56">
        <v>14</v>
      </c>
      <c r="M200" s="56">
        <v>1</v>
      </c>
      <c r="N200" s="56">
        <v>0</v>
      </c>
      <c r="O200" s="56">
        <v>1</v>
      </c>
      <c r="P200" s="56">
        <v>1</v>
      </c>
      <c r="Q200" s="56">
        <v>13791948.36</v>
      </c>
      <c r="R200" s="56">
        <v>26820000</v>
      </c>
      <c r="S200" s="56">
        <v>15</v>
      </c>
      <c r="T200" s="56">
        <v>13791948.36</v>
      </c>
      <c r="U200" s="56">
        <v>0</v>
      </c>
      <c r="V200" s="56">
        <v>0</v>
      </c>
      <c r="W200" s="56">
        <v>689597.42</v>
      </c>
      <c r="X200" s="56">
        <v>26820000</v>
      </c>
      <c r="Y200" s="55" t="s">
        <v>272</v>
      </c>
    </row>
    <row r="201" spans="1:25">
      <c r="A201" s="55" t="s">
        <v>745</v>
      </c>
      <c r="B201" s="56">
        <v>4</v>
      </c>
      <c r="C201" s="56">
        <v>1</v>
      </c>
      <c r="D201" s="56">
        <v>0</v>
      </c>
      <c r="E201" s="56">
        <v>89400000</v>
      </c>
      <c r="F201" s="56">
        <v>31175517.68</v>
      </c>
      <c r="G201" s="56">
        <v>0</v>
      </c>
      <c r="H201" s="56">
        <v>100345724.76</v>
      </c>
      <c r="I201" s="56">
        <v>0</v>
      </c>
      <c r="J201" s="56">
        <v>82709581.08</v>
      </c>
      <c r="K201" s="56">
        <v>67.5</v>
      </c>
      <c r="L201" s="56">
        <v>0</v>
      </c>
      <c r="N201" s="56">
        <v>35</v>
      </c>
      <c r="O201" s="56">
        <v>2</v>
      </c>
      <c r="P201" s="56">
        <v>2</v>
      </c>
      <c r="Q201" s="56">
        <v>82709581.08</v>
      </c>
      <c r="R201" s="56">
        <v>4843565675.940001</v>
      </c>
      <c r="S201" s="56">
        <v>139</v>
      </c>
      <c r="T201" s="56">
        <v>3362304085.58</v>
      </c>
      <c r="U201" s="56">
        <v>2</v>
      </c>
      <c r="V201" s="56">
        <v>0</v>
      </c>
      <c r="W201" s="56">
        <v>45188411.05</v>
      </c>
      <c r="X201" s="56">
        <v>100345724.76</v>
      </c>
      <c r="Y201" s="55" t="s">
        <v>563</v>
      </c>
    </row>
    <row r="202" spans="1:25">
      <c r="A202" s="55" t="s">
        <v>746</v>
      </c>
      <c r="B202" s="56">
        <v>21</v>
      </c>
      <c r="C202" s="56">
        <v>0</v>
      </c>
      <c r="D202" s="56">
        <v>0</v>
      </c>
      <c r="E202" s="56">
        <v>82546000</v>
      </c>
      <c r="F202" s="56">
        <v>1781853.42</v>
      </c>
      <c r="G202" s="56">
        <v>0</v>
      </c>
      <c r="H202" s="56">
        <v>255386000</v>
      </c>
      <c r="I202" s="56">
        <v>0</v>
      </c>
      <c r="J202" s="56">
        <v>8816398.85</v>
      </c>
      <c r="K202" s="56">
        <v>24.17</v>
      </c>
      <c r="L202" s="56">
        <v>0</v>
      </c>
      <c r="M202" s="56">
        <v>1</v>
      </c>
      <c r="N202" s="56">
        <v>0</v>
      </c>
      <c r="O202" s="56">
        <v>1</v>
      </c>
      <c r="P202" s="56">
        <v>1</v>
      </c>
      <c r="Q202" s="56">
        <v>8816398.85</v>
      </c>
      <c r="R202" s="56">
        <v>291107274.9</v>
      </c>
      <c r="S202" s="56">
        <v>56</v>
      </c>
      <c r="T202" s="56">
        <v>8816398.85</v>
      </c>
      <c r="U202" s="56">
        <v>0</v>
      </c>
      <c r="V202" s="56">
        <v>0</v>
      </c>
      <c r="W202" s="56">
        <v>440819.94</v>
      </c>
      <c r="X202" s="56">
        <v>255386000</v>
      </c>
      <c r="Y202" s="55" t="s">
        <v>272</v>
      </c>
    </row>
    <row r="203" spans="1:25">
      <c r="A203" s="55" t="s">
        <v>747</v>
      </c>
      <c r="B203" s="56">
        <v>3</v>
      </c>
      <c r="C203" s="56">
        <v>0</v>
      </c>
      <c r="D203" s="56">
        <v>0</v>
      </c>
      <c r="F203" s="56">
        <v>8383738.408</v>
      </c>
      <c r="G203" s="56">
        <v>0</v>
      </c>
      <c r="H203" s="56">
        <v>0</v>
      </c>
      <c r="I203" s="56">
        <v>0</v>
      </c>
      <c r="J203" s="56">
        <v>0</v>
      </c>
      <c r="K203" s="56">
        <v>19</v>
      </c>
      <c r="N203" s="56">
        <v>0</v>
      </c>
      <c r="O203" s="56">
        <v>1</v>
      </c>
      <c r="P203" s="56">
        <v>1</v>
      </c>
      <c r="Q203" s="56">
        <v>0</v>
      </c>
      <c r="R203" s="56">
        <v>1219181197</v>
      </c>
      <c r="S203" s="56">
        <v>116</v>
      </c>
      <c r="T203" s="56">
        <v>1080079986</v>
      </c>
      <c r="U203" s="56">
        <v>0</v>
      </c>
      <c r="V203" s="56">
        <v>0</v>
      </c>
      <c r="W203" s="56">
        <v>8383738.41</v>
      </c>
      <c r="X203" s="56">
        <v>0</v>
      </c>
      <c r="Y203" s="55" t="s">
        <v>272</v>
      </c>
    </row>
    <row r="204" spans="1:25">
      <c r="A204" s="55" t="s">
        <v>748</v>
      </c>
      <c r="B204" s="56">
        <v>5</v>
      </c>
      <c r="C204" s="56">
        <v>0</v>
      </c>
      <c r="D204" s="56">
        <v>0</v>
      </c>
      <c r="E204" s="56">
        <v>67050000</v>
      </c>
      <c r="F204" s="56">
        <v>804325.1285</v>
      </c>
      <c r="G204" s="56">
        <v>0</v>
      </c>
      <c r="H204" s="56">
        <v>107280000</v>
      </c>
      <c r="I204" s="56">
        <v>0</v>
      </c>
      <c r="J204" s="56">
        <v>47358813.6</v>
      </c>
      <c r="K204" s="56">
        <v>166</v>
      </c>
      <c r="M204" s="56">
        <v>1</v>
      </c>
      <c r="N204" s="56">
        <v>0</v>
      </c>
      <c r="O204" s="56">
        <v>1</v>
      </c>
      <c r="P204" s="56">
        <v>1</v>
      </c>
      <c r="Q204" s="56">
        <v>47358813.6</v>
      </c>
      <c r="R204" s="56">
        <v>107280000</v>
      </c>
      <c r="S204" s="56">
        <v>200</v>
      </c>
      <c r="T204" s="56">
        <v>47358813.6</v>
      </c>
      <c r="U204" s="56">
        <v>0</v>
      </c>
      <c r="V204" s="56">
        <v>0</v>
      </c>
      <c r="W204" s="56">
        <v>2367940.68</v>
      </c>
      <c r="X204" s="56">
        <v>107280000</v>
      </c>
      <c r="Y204" s="55" t="s">
        <v>272</v>
      </c>
    </row>
    <row r="205" spans="1:25">
      <c r="A205" s="55" t="s">
        <v>749</v>
      </c>
      <c r="B205" s="56">
        <v>83</v>
      </c>
      <c r="C205" s="56">
        <v>0</v>
      </c>
      <c r="D205" s="56">
        <v>1</v>
      </c>
      <c r="F205" s="56">
        <v>576618.2193</v>
      </c>
      <c r="G205" s="56">
        <v>98718.32000000001</v>
      </c>
      <c r="H205" s="56">
        <v>0</v>
      </c>
      <c r="I205" s="56">
        <v>1122458.21428</v>
      </c>
      <c r="J205" s="56">
        <v>0</v>
      </c>
      <c r="K205" s="56">
        <v>28.25</v>
      </c>
      <c r="L205" s="56">
        <v>1223</v>
      </c>
      <c r="M205" s="56">
        <v>2</v>
      </c>
      <c r="N205" s="56">
        <v>1223</v>
      </c>
      <c r="O205" s="56">
        <v>5</v>
      </c>
      <c r="P205" s="56">
        <v>5</v>
      </c>
      <c r="Q205" s="56">
        <v>818857.77</v>
      </c>
      <c r="R205" s="56">
        <v>4469490.420000001</v>
      </c>
      <c r="S205" s="56">
        <v>61</v>
      </c>
      <c r="T205" s="56">
        <v>818857.77</v>
      </c>
      <c r="U205" s="56">
        <v>0</v>
      </c>
      <c r="V205" s="56">
        <v>1</v>
      </c>
      <c r="W205" s="56">
        <v>1252338.36</v>
      </c>
      <c r="X205" s="56">
        <v>98718.32000000001</v>
      </c>
      <c r="Y205" s="55" t="s">
        <v>546</v>
      </c>
    </row>
    <row r="206" spans="1:25">
      <c r="A206" s="55" t="s">
        <v>750</v>
      </c>
      <c r="B206" s="56">
        <v>62</v>
      </c>
      <c r="C206" s="56">
        <v>0</v>
      </c>
      <c r="D206" s="56">
        <v>6</v>
      </c>
      <c r="E206" s="56">
        <v>62878000</v>
      </c>
      <c r="F206" s="56">
        <v>2368932.884</v>
      </c>
      <c r="G206" s="56">
        <v>0</v>
      </c>
      <c r="H206" s="56">
        <v>74798000</v>
      </c>
      <c r="I206" s="56">
        <v>0</v>
      </c>
      <c r="J206" s="56">
        <v>17249666.42</v>
      </c>
      <c r="K206" s="56">
        <v>72.5</v>
      </c>
      <c r="L206" s="56">
        <v>180</v>
      </c>
      <c r="M206" s="56">
        <v>5</v>
      </c>
      <c r="N206" s="56">
        <v>1454</v>
      </c>
      <c r="O206" s="56">
        <v>5</v>
      </c>
      <c r="P206" s="56">
        <v>5</v>
      </c>
      <c r="Q206" s="56">
        <v>184260637.97</v>
      </c>
      <c r="R206" s="56">
        <v>867535691.2700001</v>
      </c>
      <c r="S206" s="56">
        <v>153</v>
      </c>
      <c r="T206" s="56">
        <v>184260637.97</v>
      </c>
      <c r="U206" s="56">
        <v>0</v>
      </c>
      <c r="V206" s="56">
        <v>0</v>
      </c>
      <c r="W206" s="56">
        <v>862483.3199999999</v>
      </c>
      <c r="X206" s="56">
        <v>74798000</v>
      </c>
      <c r="Y206" s="55" t="s">
        <v>546</v>
      </c>
    </row>
    <row r="207" spans="1:25">
      <c r="A207" s="55" t="s">
        <v>751</v>
      </c>
      <c r="B207" s="56">
        <v>9</v>
      </c>
      <c r="C207" s="56">
        <v>0</v>
      </c>
      <c r="D207" s="56">
        <v>0</v>
      </c>
      <c r="E207" s="56">
        <v>40826000</v>
      </c>
      <c r="F207" s="56">
        <v>881277.6842</v>
      </c>
      <c r="G207" s="56">
        <v>0</v>
      </c>
      <c r="H207" s="56">
        <v>40826000</v>
      </c>
      <c r="I207" s="56">
        <v>0</v>
      </c>
      <c r="J207" s="56">
        <v>0</v>
      </c>
      <c r="K207" s="56">
        <v>20</v>
      </c>
      <c r="M207" s="56">
        <v>1</v>
      </c>
      <c r="N207" s="56">
        <v>0</v>
      </c>
      <c r="O207" s="56">
        <v>1</v>
      </c>
      <c r="P207" s="56">
        <v>1</v>
      </c>
      <c r="Q207" s="56">
        <v>0</v>
      </c>
      <c r="R207" s="56">
        <v>369222000</v>
      </c>
      <c r="S207" s="56">
        <v>176</v>
      </c>
      <c r="T207" s="56">
        <v>0</v>
      </c>
      <c r="U207" s="56">
        <v>0</v>
      </c>
      <c r="V207" s="56">
        <v>0</v>
      </c>
      <c r="W207" s="56">
        <v>0</v>
      </c>
      <c r="X207" s="56">
        <v>40826000</v>
      </c>
      <c r="Y207" s="55" t="s">
        <v>272</v>
      </c>
    </row>
    <row r="208" spans="1:25">
      <c r="A208" s="55" t="s">
        <v>752</v>
      </c>
      <c r="B208" s="56">
        <v>1</v>
      </c>
      <c r="C208" s="56">
        <v>0</v>
      </c>
      <c r="D208" s="56">
        <v>0</v>
      </c>
      <c r="E208" s="56">
        <v>73010000</v>
      </c>
      <c r="F208" s="56">
        <v>1975165.799</v>
      </c>
      <c r="G208" s="56">
        <v>0</v>
      </c>
      <c r="H208" s="56">
        <v>73010000</v>
      </c>
      <c r="I208" s="56">
        <v>0</v>
      </c>
      <c r="J208" s="56">
        <v>5879098.5</v>
      </c>
      <c r="K208" s="56">
        <v>29</v>
      </c>
      <c r="N208" s="56">
        <v>0</v>
      </c>
      <c r="O208" s="56">
        <v>1</v>
      </c>
      <c r="P208" s="56">
        <v>1</v>
      </c>
      <c r="Q208" s="56">
        <v>5879098.5</v>
      </c>
      <c r="R208" s="56">
        <v>73010000</v>
      </c>
      <c r="S208" s="56">
        <v>29</v>
      </c>
      <c r="T208" s="56">
        <v>5879098.5</v>
      </c>
      <c r="U208" s="56">
        <v>0</v>
      </c>
      <c r="V208" s="56">
        <v>0</v>
      </c>
      <c r="W208" s="56">
        <v>293954.93</v>
      </c>
      <c r="X208" s="56">
        <v>73010000</v>
      </c>
      <c r="Y208" s="55" t="s">
        <v>272</v>
      </c>
    </row>
    <row r="209" spans="1:25">
      <c r="A209" s="55" t="s">
        <v>753</v>
      </c>
      <c r="B209" s="56">
        <v>15</v>
      </c>
      <c r="C209" s="56">
        <v>0</v>
      </c>
      <c r="D209" s="56">
        <v>0</v>
      </c>
      <c r="F209" s="56">
        <v>1459575.928</v>
      </c>
      <c r="G209" s="56">
        <v>9969587.07</v>
      </c>
      <c r="H209" s="56">
        <v>0</v>
      </c>
      <c r="I209" s="56">
        <v>3834247.1063</v>
      </c>
      <c r="J209" s="56">
        <v>0</v>
      </c>
      <c r="K209" s="56">
        <v>3.5</v>
      </c>
      <c r="L209" s="56">
        <v>0</v>
      </c>
      <c r="M209" s="56">
        <v>1</v>
      </c>
      <c r="N209" s="56">
        <v>0</v>
      </c>
      <c r="O209" s="56">
        <v>1</v>
      </c>
      <c r="P209" s="56">
        <v>1</v>
      </c>
      <c r="Q209" s="56">
        <v>9969587.07</v>
      </c>
      <c r="R209" s="56">
        <v>15828466.68</v>
      </c>
      <c r="S209" s="56">
        <v>18</v>
      </c>
      <c r="T209" s="56">
        <v>9969587.07</v>
      </c>
      <c r="U209" s="56">
        <v>0</v>
      </c>
      <c r="V209" s="56">
        <v>0</v>
      </c>
      <c r="W209" s="56">
        <v>3834247.11</v>
      </c>
      <c r="X209" s="56">
        <v>9969587.07</v>
      </c>
      <c r="Y209" s="55" t="s">
        <v>272</v>
      </c>
    </row>
    <row r="210" spans="1:25">
      <c r="A210" s="55" t="s">
        <v>754</v>
      </c>
      <c r="B210" s="56">
        <v>2</v>
      </c>
      <c r="C210" s="56">
        <v>0</v>
      </c>
      <c r="D210" s="56">
        <v>0</v>
      </c>
      <c r="E210" s="56">
        <v>22350000</v>
      </c>
      <c r="F210" s="56">
        <v>249658.9524</v>
      </c>
      <c r="G210" s="56">
        <v>0</v>
      </c>
      <c r="H210" s="56">
        <v>22350000</v>
      </c>
      <c r="I210" s="56">
        <v>0</v>
      </c>
      <c r="J210" s="56">
        <v>2416993.12</v>
      </c>
      <c r="K210" s="56">
        <v>101</v>
      </c>
      <c r="N210" s="56">
        <v>0</v>
      </c>
      <c r="O210" s="56">
        <v>1</v>
      </c>
      <c r="P210" s="56">
        <v>1</v>
      </c>
      <c r="Q210" s="56">
        <v>2416993.12</v>
      </c>
      <c r="R210" s="56">
        <v>22350000</v>
      </c>
      <c r="S210" s="56">
        <v>101</v>
      </c>
      <c r="T210" s="56">
        <v>2416993.12</v>
      </c>
      <c r="U210" s="56">
        <v>0</v>
      </c>
      <c r="V210" s="56">
        <v>0</v>
      </c>
      <c r="W210" s="56">
        <v>120849.66</v>
      </c>
      <c r="X210" s="56">
        <v>22350000</v>
      </c>
      <c r="Y210" s="55" t="s">
        <v>272</v>
      </c>
    </row>
    <row r="211" spans="1:25">
      <c r="A211" s="55" t="s">
        <v>755</v>
      </c>
      <c r="B211" s="56">
        <v>1</v>
      </c>
      <c r="C211" s="56">
        <v>0</v>
      </c>
      <c r="D211" s="56">
        <v>0</v>
      </c>
      <c r="E211" s="56">
        <v>7450000</v>
      </c>
      <c r="F211" s="56">
        <v>201547.5306</v>
      </c>
      <c r="G211" s="56">
        <v>0</v>
      </c>
      <c r="H211" s="56">
        <v>7450000</v>
      </c>
      <c r="I211" s="56">
        <v>0</v>
      </c>
      <c r="J211" s="56">
        <v>0</v>
      </c>
      <c r="K211" s="56">
        <v>3</v>
      </c>
      <c r="L211" s="56">
        <v>0</v>
      </c>
      <c r="N211" s="56">
        <v>0</v>
      </c>
      <c r="O211" s="56">
        <v>1</v>
      </c>
      <c r="P211" s="56">
        <v>1</v>
      </c>
      <c r="Q211" s="56">
        <v>0</v>
      </c>
      <c r="R211" s="56">
        <v>7450000</v>
      </c>
      <c r="S211" s="56">
        <v>3</v>
      </c>
      <c r="T211" s="56">
        <v>0</v>
      </c>
      <c r="U211" s="56">
        <v>0</v>
      </c>
      <c r="V211" s="56">
        <v>0</v>
      </c>
      <c r="W211" s="56">
        <v>0</v>
      </c>
      <c r="X211" s="56">
        <v>7450000</v>
      </c>
      <c r="Y211" s="55" t="s">
        <v>272</v>
      </c>
    </row>
    <row r="212" spans="1:25">
      <c r="A212" s="55" t="s">
        <v>756</v>
      </c>
      <c r="B212" s="56">
        <v>24</v>
      </c>
      <c r="C212" s="56">
        <v>0</v>
      </c>
      <c r="D212" s="56">
        <v>0</v>
      </c>
      <c r="E212" s="56">
        <v>230950000</v>
      </c>
      <c r="F212" s="56">
        <v>36385635.43</v>
      </c>
      <c r="G212" s="56">
        <v>148906131.56</v>
      </c>
      <c r="H212" s="56">
        <v>406770000</v>
      </c>
      <c r="I212" s="56">
        <v>15607828.333</v>
      </c>
      <c r="J212" s="56">
        <v>13464595.5</v>
      </c>
      <c r="K212" s="56">
        <v>54</v>
      </c>
      <c r="L212" s="56">
        <v>1</v>
      </c>
      <c r="M212" s="56">
        <v>1</v>
      </c>
      <c r="N212" s="56">
        <v>1</v>
      </c>
      <c r="O212" s="56">
        <v>2</v>
      </c>
      <c r="P212" s="56">
        <v>2</v>
      </c>
      <c r="Q212" s="56">
        <v>162370727.06</v>
      </c>
      <c r="R212" s="56">
        <v>8367452483.240001</v>
      </c>
      <c r="S212" s="56">
        <v>218</v>
      </c>
      <c r="T212" s="56">
        <v>3538011498.179999</v>
      </c>
      <c r="U212" s="56">
        <v>0</v>
      </c>
      <c r="V212" s="56">
        <v>0</v>
      </c>
      <c r="W212" s="56">
        <v>112354934.3</v>
      </c>
      <c r="X212" s="56">
        <v>555676131.5599999</v>
      </c>
      <c r="Y212" s="55" t="s">
        <v>272</v>
      </c>
    </row>
    <row r="213" spans="1:25">
      <c r="A213" s="55" t="s">
        <v>757</v>
      </c>
      <c r="B213" s="56">
        <v>12</v>
      </c>
      <c r="C213" s="56">
        <v>0</v>
      </c>
      <c r="D213" s="56">
        <v>0</v>
      </c>
      <c r="F213" s="56">
        <v>460250.9502</v>
      </c>
      <c r="G213" s="56">
        <v>216053.68</v>
      </c>
      <c r="H213" s="56">
        <v>0</v>
      </c>
      <c r="I213" s="56">
        <v>701951.3141000001</v>
      </c>
      <c r="J213" s="56">
        <v>0</v>
      </c>
      <c r="K213" s="56">
        <v>1.5</v>
      </c>
      <c r="L213" s="56">
        <v>0</v>
      </c>
      <c r="M213" s="56">
        <v>1</v>
      </c>
      <c r="N213" s="56">
        <v>0</v>
      </c>
      <c r="O213" s="56">
        <v>1</v>
      </c>
      <c r="P213" s="56">
        <v>1</v>
      </c>
      <c r="Q213" s="56">
        <v>216053.68</v>
      </c>
      <c r="R213" s="56">
        <v>12910659.28</v>
      </c>
      <c r="S213" s="56">
        <v>35</v>
      </c>
      <c r="T213" s="56">
        <v>216053.68</v>
      </c>
      <c r="U213" s="56">
        <v>0</v>
      </c>
      <c r="V213" s="56">
        <v>0</v>
      </c>
      <c r="W213" s="56">
        <v>701951.3100000001</v>
      </c>
      <c r="X213" s="56">
        <v>216053.68</v>
      </c>
      <c r="Y213" s="55" t="s">
        <v>272</v>
      </c>
    </row>
    <row r="214" spans="1:25">
      <c r="A214" s="55" t="s">
        <v>758</v>
      </c>
      <c r="B214" s="56">
        <v>40</v>
      </c>
      <c r="C214" s="56">
        <v>0</v>
      </c>
      <c r="D214" s="56">
        <v>0</v>
      </c>
      <c r="F214" s="56">
        <v>3337600</v>
      </c>
      <c r="G214" s="56">
        <v>11018374.39</v>
      </c>
      <c r="H214" s="56">
        <v>0</v>
      </c>
      <c r="I214" s="56">
        <v>5779542.294020001</v>
      </c>
      <c r="J214" s="56">
        <v>0</v>
      </c>
      <c r="K214" s="56">
        <v>8.5</v>
      </c>
      <c r="L214" s="56">
        <v>141</v>
      </c>
      <c r="M214" s="56">
        <v>2</v>
      </c>
      <c r="N214" s="56">
        <v>141</v>
      </c>
      <c r="O214" s="56">
        <v>4</v>
      </c>
      <c r="P214" s="56">
        <v>4</v>
      </c>
      <c r="Q214" s="56">
        <v>11018374.39</v>
      </c>
      <c r="R214" s="56">
        <v>27241711.72</v>
      </c>
      <c r="S214" s="56">
        <v>49</v>
      </c>
      <c r="T214" s="56">
        <v>11018374.39</v>
      </c>
      <c r="U214" s="56">
        <v>3</v>
      </c>
      <c r="V214" s="56">
        <v>0</v>
      </c>
      <c r="W214" s="56">
        <v>5779542.29</v>
      </c>
      <c r="X214" s="56">
        <v>11018374.39</v>
      </c>
      <c r="Y214" s="55" t="s">
        <v>272</v>
      </c>
    </row>
    <row r="215" spans="1:25">
      <c r="A215" s="55" t="s">
        <v>759</v>
      </c>
      <c r="B215" s="56">
        <v>35</v>
      </c>
      <c r="C215" s="56">
        <v>2</v>
      </c>
      <c r="D215" s="56">
        <v>0</v>
      </c>
      <c r="E215" s="56">
        <v>29800000</v>
      </c>
      <c r="F215" s="56">
        <v>14236045.97</v>
      </c>
      <c r="G215" s="56">
        <v>653900</v>
      </c>
      <c r="H215" s="56">
        <v>62580000</v>
      </c>
      <c r="I215" s="56">
        <v>250239.8212</v>
      </c>
      <c r="J215" s="56">
        <v>34640815.18</v>
      </c>
      <c r="K215" s="56">
        <v>41.71</v>
      </c>
      <c r="L215" s="56">
        <v>36</v>
      </c>
      <c r="M215" s="56">
        <v>5</v>
      </c>
      <c r="N215" s="56">
        <v>180</v>
      </c>
      <c r="O215" s="56">
        <v>5</v>
      </c>
      <c r="P215" s="56">
        <v>5</v>
      </c>
      <c r="Q215" s="56">
        <v>35294715.18</v>
      </c>
      <c r="R215" s="56">
        <v>2065539930.85</v>
      </c>
      <c r="S215" s="56">
        <v>82</v>
      </c>
      <c r="T215" s="56">
        <v>1344967598.22</v>
      </c>
      <c r="U215" s="56">
        <v>4</v>
      </c>
      <c r="V215" s="56">
        <v>2</v>
      </c>
      <c r="W215" s="56">
        <v>29528392.85</v>
      </c>
      <c r="X215" s="56">
        <v>63233900</v>
      </c>
      <c r="Y215" s="55" t="s">
        <v>563</v>
      </c>
    </row>
    <row r="216" spans="1:25">
      <c r="A216" s="55" t="s">
        <v>760</v>
      </c>
      <c r="B216" s="56">
        <v>8</v>
      </c>
      <c r="C216" s="56">
        <v>0</v>
      </c>
      <c r="D216" s="56">
        <v>0</v>
      </c>
      <c r="E216" s="56">
        <v>241380000</v>
      </c>
      <c r="F216" s="56">
        <v>35010436.61</v>
      </c>
      <c r="G216" s="56">
        <v>61319038.68</v>
      </c>
      <c r="H216" s="56">
        <v>345680000</v>
      </c>
      <c r="I216" s="56">
        <v>1058193.899</v>
      </c>
      <c r="J216" s="56">
        <v>127113312.3</v>
      </c>
      <c r="K216" s="56">
        <v>124.2</v>
      </c>
      <c r="M216" s="56">
        <v>2</v>
      </c>
      <c r="N216" s="56">
        <v>0</v>
      </c>
      <c r="O216" s="56">
        <v>1</v>
      </c>
      <c r="P216" s="56">
        <v>1</v>
      </c>
      <c r="Q216" s="56">
        <v>188432350.98</v>
      </c>
      <c r="R216" s="56">
        <v>5311826236.04</v>
      </c>
      <c r="S216" s="56">
        <v>240</v>
      </c>
      <c r="T216" s="56">
        <v>2122011343.78</v>
      </c>
      <c r="U216" s="56">
        <v>0</v>
      </c>
      <c r="V216" s="56">
        <v>1</v>
      </c>
      <c r="W216" s="56">
        <v>58674164.83</v>
      </c>
      <c r="X216" s="56">
        <v>406999038.68</v>
      </c>
      <c r="Y216" s="55" t="s">
        <v>563</v>
      </c>
    </row>
    <row r="217" spans="1:25">
      <c r="A217" s="55" t="s">
        <v>761</v>
      </c>
      <c r="B217" s="56">
        <v>5</v>
      </c>
      <c r="C217" s="56">
        <v>0</v>
      </c>
      <c r="D217" s="56">
        <v>0</v>
      </c>
      <c r="E217" s="56">
        <v>134100000</v>
      </c>
      <c r="F217" s="56">
        <v>3699152.661</v>
      </c>
      <c r="G217" s="56">
        <v>0</v>
      </c>
      <c r="H217" s="56">
        <v>159430000</v>
      </c>
      <c r="I217" s="56">
        <v>0</v>
      </c>
      <c r="J217" s="56">
        <v>7902507.36</v>
      </c>
      <c r="K217" s="56">
        <v>23.5</v>
      </c>
      <c r="M217" s="56">
        <v>1</v>
      </c>
      <c r="N217" s="56">
        <v>0</v>
      </c>
      <c r="O217" s="56">
        <v>1</v>
      </c>
      <c r="P217" s="56">
        <v>1</v>
      </c>
      <c r="Q217" s="56">
        <v>7902507.36</v>
      </c>
      <c r="R217" s="56">
        <v>181938014.5</v>
      </c>
      <c r="S217" s="56">
        <v>25</v>
      </c>
      <c r="T217" s="56">
        <v>7902507.36</v>
      </c>
      <c r="U217" s="56">
        <v>0</v>
      </c>
      <c r="V217" s="56">
        <v>0</v>
      </c>
      <c r="W217" s="56">
        <v>395125.37</v>
      </c>
      <c r="X217" s="56">
        <v>159430000</v>
      </c>
      <c r="Y217" s="55" t="s">
        <v>272</v>
      </c>
    </row>
    <row r="218" spans="1:25">
      <c r="A218" s="55" t="s">
        <v>762</v>
      </c>
      <c r="B218" s="56">
        <v>5</v>
      </c>
      <c r="C218" s="56">
        <v>0</v>
      </c>
      <c r="D218" s="56">
        <v>0</v>
      </c>
      <c r="E218" s="56">
        <v>14900000</v>
      </c>
      <c r="F218" s="56">
        <v>325613.7161</v>
      </c>
      <c r="G218" s="56">
        <v>87010</v>
      </c>
      <c r="H218" s="56">
        <v>14900000</v>
      </c>
      <c r="I218" s="56">
        <v>354115.60603</v>
      </c>
      <c r="J218" s="56">
        <v>19957951.76</v>
      </c>
      <c r="K218" s="56">
        <v>16.67</v>
      </c>
      <c r="N218" s="56">
        <v>0</v>
      </c>
      <c r="O218" s="56">
        <v>1</v>
      </c>
      <c r="P218" s="56">
        <v>1</v>
      </c>
      <c r="Q218" s="56">
        <v>20044961.76</v>
      </c>
      <c r="R218" s="56">
        <v>22350000</v>
      </c>
      <c r="S218" s="56">
        <v>34</v>
      </c>
      <c r="T218" s="56">
        <v>20044961.76</v>
      </c>
      <c r="U218" s="56">
        <v>0</v>
      </c>
      <c r="V218" s="56">
        <v>0</v>
      </c>
      <c r="W218" s="56">
        <v>1352013.19</v>
      </c>
      <c r="X218" s="56">
        <v>14987010</v>
      </c>
      <c r="Y218" s="55" t="s">
        <v>272</v>
      </c>
    </row>
    <row r="219" spans="1:25">
      <c r="A219" s="55" t="s">
        <v>763</v>
      </c>
      <c r="B219" s="56">
        <v>5</v>
      </c>
      <c r="C219" s="56">
        <v>0</v>
      </c>
      <c r="D219" s="56">
        <v>0</v>
      </c>
      <c r="F219" s="56">
        <v>2592536.447</v>
      </c>
      <c r="G219" s="56">
        <v>0</v>
      </c>
      <c r="H219" s="56">
        <v>0</v>
      </c>
      <c r="I219" s="56">
        <v>0</v>
      </c>
      <c r="J219" s="56">
        <v>0</v>
      </c>
      <c r="K219" s="56">
        <v>12</v>
      </c>
      <c r="L219" s="56">
        <v>0</v>
      </c>
      <c r="N219" s="56">
        <v>0</v>
      </c>
      <c r="O219" s="56">
        <v>1</v>
      </c>
      <c r="P219" s="56">
        <v>1</v>
      </c>
      <c r="Q219" s="56">
        <v>0</v>
      </c>
      <c r="R219" s="56">
        <v>24399588.87</v>
      </c>
      <c r="S219" s="56">
        <v>70</v>
      </c>
      <c r="T219" s="56">
        <v>18176874.93</v>
      </c>
      <c r="U219" s="56">
        <v>0</v>
      </c>
      <c r="V219" s="56">
        <v>0</v>
      </c>
      <c r="W219" s="56">
        <v>2592536.45</v>
      </c>
      <c r="X219" s="56">
        <v>0</v>
      </c>
      <c r="Y219" s="55" t="s">
        <v>272</v>
      </c>
    </row>
    <row r="220" spans="1:25">
      <c r="A220" s="55" t="s">
        <v>764</v>
      </c>
      <c r="B220" s="56">
        <v>7</v>
      </c>
      <c r="C220" s="56">
        <v>0</v>
      </c>
      <c r="D220" s="56">
        <v>0</v>
      </c>
      <c r="E220" s="56">
        <v>295020000</v>
      </c>
      <c r="F220" s="56">
        <v>7238609.672</v>
      </c>
      <c r="G220" s="56">
        <v>0</v>
      </c>
      <c r="H220" s="56">
        <v>336740000</v>
      </c>
      <c r="I220" s="56">
        <v>0</v>
      </c>
      <c r="J220" s="56">
        <v>681435</v>
      </c>
      <c r="K220" s="56">
        <v>87</v>
      </c>
      <c r="M220" s="56">
        <v>1</v>
      </c>
      <c r="N220" s="56">
        <v>0</v>
      </c>
      <c r="O220" s="56">
        <v>1</v>
      </c>
      <c r="P220" s="56">
        <v>1</v>
      </c>
      <c r="Q220" s="56">
        <v>681435</v>
      </c>
      <c r="R220" s="56">
        <v>763116291.65</v>
      </c>
      <c r="S220" s="56">
        <v>203</v>
      </c>
      <c r="T220" s="56">
        <v>681435</v>
      </c>
      <c r="U220" s="56">
        <v>0</v>
      </c>
      <c r="V220" s="56">
        <v>0</v>
      </c>
      <c r="W220" s="56">
        <v>34071.75</v>
      </c>
      <c r="X220" s="56">
        <v>336740000</v>
      </c>
      <c r="Y220" s="55" t="s">
        <v>272</v>
      </c>
    </row>
    <row r="221" spans="1:25">
      <c r="A221" s="55" t="s">
        <v>765</v>
      </c>
      <c r="B221" s="56">
        <v>41</v>
      </c>
      <c r="C221" s="56">
        <v>0</v>
      </c>
      <c r="D221" s="56">
        <v>0</v>
      </c>
      <c r="F221" s="56">
        <v>1503980.29</v>
      </c>
      <c r="G221" s="56">
        <v>8346295.460000001</v>
      </c>
      <c r="H221" s="56">
        <v>0</v>
      </c>
      <c r="I221" s="56">
        <v>2210145.03028</v>
      </c>
      <c r="J221" s="56">
        <v>0</v>
      </c>
      <c r="K221" s="56">
        <v>3.33</v>
      </c>
      <c r="L221" s="56">
        <v>0</v>
      </c>
      <c r="M221" s="56">
        <v>1</v>
      </c>
      <c r="N221" s="56">
        <v>0</v>
      </c>
      <c r="O221" s="56">
        <v>1</v>
      </c>
      <c r="P221" s="56">
        <v>1</v>
      </c>
      <c r="Q221" s="56">
        <v>17590646.18</v>
      </c>
      <c r="R221" s="56">
        <v>42957419.67000001</v>
      </c>
      <c r="S221" s="56">
        <v>36</v>
      </c>
      <c r="T221" s="56">
        <v>17590646.18</v>
      </c>
      <c r="U221" s="56">
        <v>0</v>
      </c>
      <c r="V221" s="56">
        <v>0</v>
      </c>
      <c r="W221" s="56">
        <v>2570459.25</v>
      </c>
      <c r="X221" s="56">
        <v>8346295.46</v>
      </c>
      <c r="Y221" s="55" t="s">
        <v>272</v>
      </c>
    </row>
    <row r="222" spans="1:25">
      <c r="A222" s="55" t="s">
        <v>766</v>
      </c>
      <c r="B222" s="56">
        <v>3</v>
      </c>
      <c r="C222" s="56">
        <v>0</v>
      </c>
      <c r="D222" s="56">
        <v>0</v>
      </c>
      <c r="E222" s="56">
        <v>190720000</v>
      </c>
      <c r="F222" s="56">
        <v>4679505.242</v>
      </c>
      <c r="G222" s="56">
        <v>0</v>
      </c>
      <c r="H222" s="56">
        <v>190720000</v>
      </c>
      <c r="I222" s="56">
        <v>0</v>
      </c>
      <c r="J222" s="56">
        <v>9758628.810000001</v>
      </c>
      <c r="K222" s="56">
        <v>63</v>
      </c>
      <c r="N222" s="56">
        <v>0</v>
      </c>
      <c r="O222" s="56">
        <v>1</v>
      </c>
      <c r="P222" s="56">
        <v>1</v>
      </c>
      <c r="Q222" s="56">
        <v>9758628.810000001</v>
      </c>
      <c r="R222" s="56">
        <v>190720000</v>
      </c>
      <c r="S222" s="56">
        <v>144</v>
      </c>
      <c r="T222" s="56">
        <v>9758628.810000001</v>
      </c>
      <c r="U222" s="56">
        <v>0</v>
      </c>
      <c r="V222" s="56">
        <v>0</v>
      </c>
      <c r="W222" s="56">
        <v>487931.44</v>
      </c>
      <c r="X222" s="56">
        <v>190720000</v>
      </c>
      <c r="Y222" s="55" t="s">
        <v>272</v>
      </c>
    </row>
    <row r="223" spans="1:25">
      <c r="A223" s="55" t="s">
        <v>767</v>
      </c>
      <c r="B223" s="56">
        <v>16</v>
      </c>
      <c r="C223" s="56">
        <v>0</v>
      </c>
      <c r="D223" s="56">
        <v>0</v>
      </c>
      <c r="E223" s="56">
        <v>59600000</v>
      </c>
      <c r="F223" s="56">
        <v>1612380.244</v>
      </c>
      <c r="G223" s="56">
        <v>623457.9</v>
      </c>
      <c r="H223" s="56">
        <v>59600000</v>
      </c>
      <c r="I223" s="56">
        <v>733627.8384</v>
      </c>
      <c r="J223" s="56">
        <v>0</v>
      </c>
      <c r="K223" s="56">
        <v>7</v>
      </c>
      <c r="L223" s="56">
        <v>0</v>
      </c>
      <c r="M223" s="56">
        <v>1</v>
      </c>
      <c r="N223" s="56">
        <v>0</v>
      </c>
      <c r="O223" s="56">
        <v>1</v>
      </c>
      <c r="P223" s="56">
        <v>1</v>
      </c>
      <c r="Q223" s="56">
        <v>623457.9</v>
      </c>
      <c r="R223" s="56">
        <v>69504924.00000001</v>
      </c>
      <c r="S223" s="56">
        <v>53</v>
      </c>
      <c r="T223" s="56">
        <v>623457.9</v>
      </c>
      <c r="U223" s="56">
        <v>0</v>
      </c>
      <c r="V223" s="56">
        <v>0</v>
      </c>
      <c r="W223" s="56">
        <v>733627.84</v>
      </c>
      <c r="X223" s="56">
        <v>60223457.9</v>
      </c>
      <c r="Y223" s="55" t="s">
        <v>272</v>
      </c>
    </row>
    <row r="224" spans="1:25">
      <c r="A224" s="55" t="s">
        <v>768</v>
      </c>
      <c r="B224" s="56">
        <v>4</v>
      </c>
      <c r="C224" s="56">
        <v>0</v>
      </c>
      <c r="D224" s="56">
        <v>0</v>
      </c>
      <c r="E224" s="56">
        <v>44700000</v>
      </c>
      <c r="F224" s="56">
        <v>984722.9334</v>
      </c>
      <c r="G224" s="56">
        <v>0</v>
      </c>
      <c r="H224" s="56">
        <v>53640000</v>
      </c>
      <c r="I224" s="56">
        <v>0</v>
      </c>
      <c r="J224" s="56">
        <v>20071096.46</v>
      </c>
      <c r="K224" s="56">
        <v>55.5</v>
      </c>
      <c r="M224" s="56">
        <v>1</v>
      </c>
      <c r="N224" s="56">
        <v>0</v>
      </c>
      <c r="O224" s="56">
        <v>2</v>
      </c>
      <c r="P224" s="56">
        <v>2</v>
      </c>
      <c r="Q224" s="56">
        <v>20071096.46</v>
      </c>
      <c r="R224" s="56">
        <v>53640000</v>
      </c>
      <c r="S224" s="56">
        <v>106</v>
      </c>
      <c r="T224" s="56">
        <v>20071096.46</v>
      </c>
      <c r="U224" s="56">
        <v>1</v>
      </c>
      <c r="V224" s="56">
        <v>0</v>
      </c>
      <c r="W224" s="56">
        <v>1003554.82</v>
      </c>
      <c r="X224" s="56">
        <v>53640000</v>
      </c>
      <c r="Y224" s="55" t="s">
        <v>272</v>
      </c>
    </row>
    <row r="225" spans="1:25">
      <c r="A225" s="55" t="s">
        <v>769</v>
      </c>
      <c r="B225" s="56">
        <v>5</v>
      </c>
      <c r="C225" s="56">
        <v>0</v>
      </c>
      <c r="D225" s="56">
        <v>0</v>
      </c>
      <c r="E225" s="56">
        <v>14900000</v>
      </c>
      <c r="F225" s="56">
        <v>4849164.936</v>
      </c>
      <c r="G225" s="56">
        <v>0</v>
      </c>
      <c r="H225" s="56">
        <v>14900000</v>
      </c>
      <c r="I225" s="56">
        <v>0</v>
      </c>
      <c r="J225" s="56">
        <v>8419099.359999999</v>
      </c>
      <c r="K225" s="56">
        <v>77.5</v>
      </c>
      <c r="N225" s="56">
        <v>0</v>
      </c>
      <c r="O225" s="56">
        <v>1</v>
      </c>
      <c r="P225" s="56">
        <v>1</v>
      </c>
      <c r="Q225" s="56">
        <v>8419099.359999999</v>
      </c>
      <c r="R225" s="56">
        <v>280724315.7</v>
      </c>
      <c r="S225" s="56">
        <v>115</v>
      </c>
      <c r="T225" s="56">
        <v>202029573.36</v>
      </c>
      <c r="U225" s="56">
        <v>0</v>
      </c>
      <c r="V225" s="56">
        <v>0</v>
      </c>
      <c r="W225" s="56">
        <v>5270119.9</v>
      </c>
      <c r="X225" s="56">
        <v>14900000</v>
      </c>
      <c r="Y225" s="55" t="s">
        <v>272</v>
      </c>
    </row>
    <row r="226" spans="1:25">
      <c r="A226" s="55" t="s">
        <v>770</v>
      </c>
      <c r="B226" s="56">
        <v>6</v>
      </c>
      <c r="C226" s="56">
        <v>0</v>
      </c>
      <c r="D226" s="56">
        <v>0</v>
      </c>
      <c r="F226" s="56">
        <v>3550863.711</v>
      </c>
      <c r="G226" s="56">
        <v>804187.8</v>
      </c>
      <c r="H226" s="56">
        <v>0</v>
      </c>
      <c r="I226" s="56">
        <v>266246.5421</v>
      </c>
      <c r="J226" s="56">
        <v>0</v>
      </c>
      <c r="K226" s="56">
        <v>10.5</v>
      </c>
      <c r="L226" s="56">
        <v>0</v>
      </c>
      <c r="M226" s="56">
        <v>1</v>
      </c>
      <c r="N226" s="56">
        <v>0</v>
      </c>
      <c r="O226" s="56">
        <v>1</v>
      </c>
      <c r="P226" s="56">
        <v>1</v>
      </c>
      <c r="Q226" s="56">
        <v>804187.8</v>
      </c>
      <c r="R226" s="56">
        <v>577104308.74</v>
      </c>
      <c r="S226" s="56">
        <v>18</v>
      </c>
      <c r="T226" s="56">
        <v>580853770.8</v>
      </c>
      <c r="U226" s="56">
        <v>0</v>
      </c>
      <c r="V226" s="56">
        <v>0</v>
      </c>
      <c r="W226" s="56">
        <v>3817110.25</v>
      </c>
      <c r="X226" s="56">
        <v>804187.8</v>
      </c>
      <c r="Y226" s="55" t="s">
        <v>272</v>
      </c>
    </row>
    <row r="227" spans="1:25">
      <c r="A227" s="55" t="s">
        <v>771</v>
      </c>
      <c r="B227" s="56">
        <v>4</v>
      </c>
      <c r="C227" s="56">
        <v>0</v>
      </c>
      <c r="D227" s="56">
        <v>0</v>
      </c>
      <c r="E227" s="56">
        <v>50660000</v>
      </c>
      <c r="F227" s="56">
        <v>1371410.248</v>
      </c>
      <c r="G227" s="56">
        <v>0</v>
      </c>
      <c r="H227" s="56">
        <v>50660000</v>
      </c>
      <c r="I227" s="56">
        <v>0</v>
      </c>
      <c r="J227" s="56">
        <v>31436176.32</v>
      </c>
      <c r="K227" s="56">
        <v>160</v>
      </c>
      <c r="N227" s="56">
        <v>0</v>
      </c>
      <c r="O227" s="56">
        <v>1</v>
      </c>
      <c r="P227" s="56">
        <v>1</v>
      </c>
      <c r="Q227" s="56">
        <v>31436176.32</v>
      </c>
      <c r="R227" s="56">
        <v>58955034.13</v>
      </c>
      <c r="S227" s="56">
        <v>185</v>
      </c>
      <c r="T227" s="56">
        <v>31436176.32</v>
      </c>
      <c r="U227" s="56">
        <v>0</v>
      </c>
      <c r="V227" s="56">
        <v>0</v>
      </c>
      <c r="W227" s="56">
        <v>1571808.82</v>
      </c>
      <c r="X227" s="56">
        <v>50660000</v>
      </c>
      <c r="Y227" s="55" t="s">
        <v>272</v>
      </c>
    </row>
    <row r="228" spans="1:25">
      <c r="A228" s="55" t="s">
        <v>772</v>
      </c>
      <c r="B228" s="56">
        <v>1</v>
      </c>
      <c r="C228" s="56">
        <v>0</v>
      </c>
      <c r="D228" s="56">
        <v>0</v>
      </c>
      <c r="E228" s="56">
        <v>29800000</v>
      </c>
      <c r="F228" s="56">
        <v>584682.8845</v>
      </c>
      <c r="G228" s="56">
        <v>0</v>
      </c>
      <c r="H228" s="56">
        <v>29800000</v>
      </c>
      <c r="I228" s="56">
        <v>0</v>
      </c>
      <c r="J228" s="56">
        <v>10223351.46</v>
      </c>
      <c r="K228" s="56">
        <v>62</v>
      </c>
      <c r="N228" s="56">
        <v>0</v>
      </c>
      <c r="O228" s="56">
        <v>1</v>
      </c>
      <c r="P228" s="56">
        <v>1</v>
      </c>
      <c r="Q228" s="56">
        <v>10223351.46</v>
      </c>
      <c r="R228" s="56">
        <v>29800000</v>
      </c>
      <c r="S228" s="56">
        <v>62</v>
      </c>
      <c r="T228" s="56">
        <v>10223351.46</v>
      </c>
      <c r="U228" s="56">
        <v>0</v>
      </c>
      <c r="V228" s="56">
        <v>0</v>
      </c>
      <c r="W228" s="56">
        <v>511167.57</v>
      </c>
      <c r="X228" s="56">
        <v>29800000</v>
      </c>
      <c r="Y228" s="55" t="s">
        <v>272</v>
      </c>
    </row>
    <row r="229" spans="1:25">
      <c r="A229" s="55" t="s">
        <v>773</v>
      </c>
      <c r="B229" s="56">
        <v>1</v>
      </c>
      <c r="C229" s="56">
        <v>0</v>
      </c>
      <c r="D229" s="56">
        <v>0</v>
      </c>
      <c r="E229" s="56">
        <v>74500000</v>
      </c>
      <c r="F229" s="56">
        <v>884256.1716</v>
      </c>
      <c r="G229" s="56">
        <v>0</v>
      </c>
      <c r="H229" s="56">
        <v>74500000</v>
      </c>
      <c r="I229" s="56">
        <v>0</v>
      </c>
      <c r="J229" s="56">
        <v>6260410.24</v>
      </c>
      <c r="K229" s="56">
        <v>57</v>
      </c>
      <c r="N229" s="56">
        <v>0</v>
      </c>
      <c r="O229" s="56">
        <v>1</v>
      </c>
      <c r="P229" s="56">
        <v>1</v>
      </c>
      <c r="Q229" s="56">
        <v>6260410.24</v>
      </c>
      <c r="R229" s="56">
        <v>74500000</v>
      </c>
      <c r="S229" s="56">
        <v>57</v>
      </c>
      <c r="T229" s="56">
        <v>6260410.24</v>
      </c>
      <c r="U229" s="56">
        <v>0</v>
      </c>
      <c r="V229" s="56">
        <v>0</v>
      </c>
      <c r="W229" s="56">
        <v>313020.51</v>
      </c>
      <c r="X229" s="56">
        <v>74500000</v>
      </c>
      <c r="Y229" s="55" t="s">
        <v>272</v>
      </c>
    </row>
    <row r="230" spans="1:25">
      <c r="A230" s="55" t="s">
        <v>774</v>
      </c>
      <c r="B230" s="56">
        <v>1</v>
      </c>
      <c r="C230" s="56">
        <v>0</v>
      </c>
      <c r="D230" s="56">
        <v>0</v>
      </c>
      <c r="F230" s="56">
        <v>1110705.804</v>
      </c>
      <c r="G230" s="56">
        <v>0</v>
      </c>
      <c r="H230" s="56">
        <v>0</v>
      </c>
      <c r="I230" s="56">
        <v>1110705.804</v>
      </c>
      <c r="J230" s="56">
        <v>0</v>
      </c>
      <c r="K230" s="56">
        <v>19</v>
      </c>
      <c r="L230" s="56">
        <v>0</v>
      </c>
      <c r="N230" s="56">
        <v>0</v>
      </c>
      <c r="O230" s="56">
        <v>1</v>
      </c>
      <c r="P230" s="56">
        <v>1</v>
      </c>
      <c r="Q230" s="56">
        <v>0</v>
      </c>
      <c r="R230" s="56">
        <v>6016791.35</v>
      </c>
      <c r="S230" s="56">
        <v>19</v>
      </c>
      <c r="T230" s="56">
        <v>0</v>
      </c>
      <c r="U230" s="56">
        <v>0</v>
      </c>
      <c r="V230" s="56">
        <v>0</v>
      </c>
      <c r="W230" s="56">
        <v>1110705.8</v>
      </c>
      <c r="X230" s="56">
        <v>0</v>
      </c>
      <c r="Y230" s="55" t="s">
        <v>272</v>
      </c>
    </row>
    <row r="231" spans="1:25">
      <c r="A231" s="55" t="s">
        <v>775</v>
      </c>
      <c r="B231" s="56">
        <v>23</v>
      </c>
      <c r="C231" s="56">
        <v>0</v>
      </c>
      <c r="D231" s="56">
        <v>0</v>
      </c>
      <c r="F231" s="56">
        <v>4812857.972</v>
      </c>
      <c r="G231" s="56">
        <v>1465560.01</v>
      </c>
      <c r="H231" s="56">
        <v>0</v>
      </c>
      <c r="I231" s="56">
        <v>1477486.47739</v>
      </c>
      <c r="J231" s="56">
        <v>0</v>
      </c>
      <c r="K231" s="56">
        <v>11.75</v>
      </c>
      <c r="L231" s="56">
        <v>0</v>
      </c>
      <c r="M231" s="56">
        <v>1</v>
      </c>
      <c r="N231" s="56">
        <v>0</v>
      </c>
      <c r="O231" s="56">
        <v>1</v>
      </c>
      <c r="P231" s="56">
        <v>1</v>
      </c>
      <c r="Q231" s="56">
        <v>1465560.01</v>
      </c>
      <c r="R231" s="56">
        <v>565419952.22</v>
      </c>
      <c r="S231" s="56">
        <v>61</v>
      </c>
      <c r="T231" s="56">
        <v>427126167.61</v>
      </c>
      <c r="U231" s="56">
        <v>0</v>
      </c>
      <c r="V231" s="56">
        <v>0</v>
      </c>
      <c r="W231" s="56">
        <v>6290344.45</v>
      </c>
      <c r="X231" s="56">
        <v>1465560.01</v>
      </c>
      <c r="Y231" s="55" t="s">
        <v>272</v>
      </c>
    </row>
    <row r="232" spans="1:25">
      <c r="A232" s="55" t="s">
        <v>776</v>
      </c>
      <c r="B232" s="56">
        <v>1</v>
      </c>
      <c r="C232" s="56">
        <v>0</v>
      </c>
      <c r="D232" s="56">
        <v>0</v>
      </c>
      <c r="E232" s="56">
        <v>29800000</v>
      </c>
      <c r="F232" s="56">
        <v>771209.621</v>
      </c>
      <c r="G232" s="56">
        <v>0</v>
      </c>
      <c r="H232" s="56">
        <v>29800000</v>
      </c>
      <c r="I232" s="56">
        <v>0</v>
      </c>
      <c r="J232" s="56">
        <v>10667098.56</v>
      </c>
      <c r="K232" s="56">
        <v>8</v>
      </c>
      <c r="N232" s="56">
        <v>0</v>
      </c>
      <c r="O232" s="56">
        <v>1</v>
      </c>
      <c r="P232" s="56">
        <v>1</v>
      </c>
      <c r="Q232" s="56">
        <v>10667098.56</v>
      </c>
      <c r="R232" s="56">
        <v>29800000</v>
      </c>
      <c r="S232" s="56">
        <v>8</v>
      </c>
      <c r="T232" s="56">
        <v>10667098.56</v>
      </c>
      <c r="U232" s="56">
        <v>0</v>
      </c>
      <c r="V232" s="56">
        <v>0</v>
      </c>
      <c r="W232" s="56">
        <v>533354.9300000001</v>
      </c>
      <c r="X232" s="56">
        <v>29800000</v>
      </c>
      <c r="Y232" s="55" t="s">
        <v>272</v>
      </c>
    </row>
    <row r="233" spans="1:25">
      <c r="A233" s="55" t="s">
        <v>777</v>
      </c>
      <c r="B233" s="56">
        <v>19</v>
      </c>
      <c r="C233" s="56">
        <v>0</v>
      </c>
      <c r="D233" s="56">
        <v>0</v>
      </c>
      <c r="E233" s="56">
        <v>447000000</v>
      </c>
      <c r="F233" s="56">
        <v>70490020.73</v>
      </c>
      <c r="G233" s="56">
        <v>0</v>
      </c>
      <c r="H233" s="56">
        <v>768840000</v>
      </c>
      <c r="I233" s="56">
        <v>0</v>
      </c>
      <c r="J233" s="56">
        <v>2845140</v>
      </c>
      <c r="K233" s="56">
        <v>87</v>
      </c>
      <c r="M233" s="56">
        <v>2</v>
      </c>
      <c r="N233" s="56">
        <v>0</v>
      </c>
      <c r="O233" s="56">
        <v>1</v>
      </c>
      <c r="P233" s="56">
        <v>1</v>
      </c>
      <c r="Q233" s="56">
        <v>2845140</v>
      </c>
      <c r="R233" s="56">
        <v>15991505656.2</v>
      </c>
      <c r="S233" s="56">
        <v>225</v>
      </c>
      <c r="T233" s="56">
        <v>5868889019.900001</v>
      </c>
      <c r="U233" s="56">
        <v>0</v>
      </c>
      <c r="V233" s="56">
        <v>0</v>
      </c>
      <c r="W233" s="56">
        <v>186011231.94</v>
      </c>
      <c r="X233" s="56">
        <v>768840000</v>
      </c>
      <c r="Y233" s="55" t="s">
        <v>272</v>
      </c>
    </row>
    <row r="234" spans="1:25">
      <c r="A234" s="55" t="s">
        <v>778</v>
      </c>
      <c r="B234" s="56">
        <v>1</v>
      </c>
      <c r="C234" s="56">
        <v>0</v>
      </c>
      <c r="D234" s="56">
        <v>0</v>
      </c>
      <c r="E234" s="56">
        <v>37250000</v>
      </c>
      <c r="F234" s="56">
        <v>913965.8676999999</v>
      </c>
      <c r="G234" s="56">
        <v>0</v>
      </c>
      <c r="H234" s="56">
        <v>37250000</v>
      </c>
      <c r="I234" s="56">
        <v>0</v>
      </c>
      <c r="J234" s="56">
        <v>0</v>
      </c>
      <c r="K234" s="56">
        <v>21</v>
      </c>
      <c r="N234" s="56">
        <v>0</v>
      </c>
      <c r="O234" s="56">
        <v>1</v>
      </c>
      <c r="P234" s="56">
        <v>1</v>
      </c>
      <c r="Q234" s="56">
        <v>0</v>
      </c>
      <c r="R234" s="56">
        <v>37250000</v>
      </c>
      <c r="S234" s="56">
        <v>21</v>
      </c>
      <c r="T234" s="56">
        <v>0</v>
      </c>
      <c r="U234" s="56">
        <v>0</v>
      </c>
      <c r="V234" s="56">
        <v>0</v>
      </c>
      <c r="W234" s="56">
        <v>0</v>
      </c>
      <c r="X234" s="56">
        <v>37250000</v>
      </c>
      <c r="Y234" s="55" t="s">
        <v>272</v>
      </c>
    </row>
    <row r="235" spans="1:25">
      <c r="A235" s="55" t="s">
        <v>779</v>
      </c>
      <c r="B235" s="56">
        <v>1</v>
      </c>
      <c r="C235" s="56">
        <v>0</v>
      </c>
      <c r="D235" s="56">
        <v>0</v>
      </c>
      <c r="E235" s="56">
        <v>14900000</v>
      </c>
      <c r="F235" s="56">
        <v>403095.0611</v>
      </c>
      <c r="G235" s="56">
        <v>0</v>
      </c>
      <c r="H235" s="56">
        <v>14900000</v>
      </c>
      <c r="I235" s="56">
        <v>0</v>
      </c>
      <c r="J235" s="56">
        <v>0</v>
      </c>
      <c r="K235" s="56">
        <v>3</v>
      </c>
      <c r="N235" s="56">
        <v>0</v>
      </c>
      <c r="O235" s="56">
        <v>1</v>
      </c>
      <c r="P235" s="56">
        <v>1</v>
      </c>
      <c r="Q235" s="56">
        <v>0</v>
      </c>
      <c r="R235" s="56">
        <v>14900000</v>
      </c>
      <c r="S235" s="56">
        <v>3</v>
      </c>
      <c r="T235" s="56">
        <v>0</v>
      </c>
      <c r="U235" s="56">
        <v>0</v>
      </c>
      <c r="V235" s="56">
        <v>0</v>
      </c>
      <c r="W235" s="56">
        <v>0</v>
      </c>
      <c r="X235" s="56">
        <v>14900000</v>
      </c>
      <c r="Y235" s="55" t="s">
        <v>272</v>
      </c>
    </row>
    <row r="236" spans="1:25">
      <c r="A236" s="55" t="s">
        <v>780</v>
      </c>
      <c r="B236" s="56">
        <v>84</v>
      </c>
      <c r="C236" s="56">
        <v>0</v>
      </c>
      <c r="D236" s="56">
        <v>0</v>
      </c>
      <c r="F236" s="56">
        <v>255319.1777</v>
      </c>
      <c r="G236" s="56">
        <v>3021855</v>
      </c>
      <c r="H236" s="56">
        <v>0</v>
      </c>
      <c r="I236" s="56">
        <v>255319.1777</v>
      </c>
      <c r="J236" s="56">
        <v>0</v>
      </c>
      <c r="K236" s="56">
        <v>5</v>
      </c>
      <c r="L236" s="56">
        <v>0</v>
      </c>
      <c r="M236" s="56">
        <v>1</v>
      </c>
      <c r="N236" s="56">
        <v>0</v>
      </c>
      <c r="O236" s="56">
        <v>1</v>
      </c>
      <c r="P236" s="56">
        <v>1</v>
      </c>
      <c r="Q236" s="56">
        <v>3021855</v>
      </c>
      <c r="R236" s="56">
        <v>6513116.310000001</v>
      </c>
      <c r="S236" s="56">
        <v>25</v>
      </c>
      <c r="T236" s="56">
        <v>3021855</v>
      </c>
      <c r="U236" s="56">
        <v>0</v>
      </c>
      <c r="V236" s="56">
        <v>0</v>
      </c>
      <c r="W236" s="56">
        <v>255319.18</v>
      </c>
      <c r="X236" s="56">
        <v>3021855</v>
      </c>
      <c r="Y236" s="55" t="s">
        <v>272</v>
      </c>
    </row>
    <row r="237" spans="1:25">
      <c r="A237" s="55" t="s">
        <v>781</v>
      </c>
      <c r="B237" s="56">
        <v>4</v>
      </c>
      <c r="C237" s="56">
        <v>0</v>
      </c>
      <c r="D237" s="56">
        <v>1</v>
      </c>
      <c r="G237" s="56">
        <v>0</v>
      </c>
      <c r="H237" s="56">
        <v>0</v>
      </c>
      <c r="I237" s="56">
        <v>0</v>
      </c>
      <c r="J237" s="56">
        <v>0</v>
      </c>
      <c r="N237" s="56">
        <v>2849</v>
      </c>
      <c r="O237" s="56">
        <v>5</v>
      </c>
      <c r="P237" s="56">
        <v>5</v>
      </c>
      <c r="Q237" s="56">
        <v>10650426</v>
      </c>
      <c r="R237" s="56">
        <v>22367880</v>
      </c>
      <c r="S237" s="56">
        <v>104</v>
      </c>
      <c r="T237" s="56">
        <v>10650426</v>
      </c>
      <c r="U237" s="56">
        <v>0</v>
      </c>
      <c r="V237" s="56">
        <v>0</v>
      </c>
      <c r="W237" s="56">
        <v>0</v>
      </c>
      <c r="X237" s="56">
        <v>0</v>
      </c>
      <c r="Y237" s="55" t="s">
        <v>546</v>
      </c>
    </row>
    <row r="238" spans="1:25">
      <c r="A238" s="55" t="s">
        <v>782</v>
      </c>
      <c r="B238" s="56">
        <v>9</v>
      </c>
      <c r="C238" s="56">
        <v>0</v>
      </c>
      <c r="D238" s="56">
        <v>0</v>
      </c>
      <c r="F238" s="56">
        <v>334975.4383</v>
      </c>
      <c r="G238" s="56">
        <v>260857.04</v>
      </c>
      <c r="H238" s="56">
        <v>0</v>
      </c>
      <c r="I238" s="56">
        <v>355461.74002</v>
      </c>
      <c r="J238" s="56">
        <v>0</v>
      </c>
      <c r="K238" s="56">
        <v>4.5</v>
      </c>
      <c r="L238" s="56">
        <v>19</v>
      </c>
      <c r="M238" s="56">
        <v>2</v>
      </c>
      <c r="N238" s="56">
        <v>20</v>
      </c>
      <c r="O238" s="56">
        <v>2</v>
      </c>
      <c r="P238" s="56">
        <v>2</v>
      </c>
      <c r="Q238" s="56">
        <v>260857.04</v>
      </c>
      <c r="R238" s="56">
        <v>1196815.68</v>
      </c>
      <c r="S238" s="56">
        <v>14</v>
      </c>
      <c r="T238" s="56">
        <v>260857.04</v>
      </c>
      <c r="U238" s="56">
        <v>1</v>
      </c>
      <c r="V238" s="56">
        <v>0</v>
      </c>
      <c r="W238" s="56">
        <v>355461.74</v>
      </c>
      <c r="X238" s="56">
        <v>260857.04</v>
      </c>
      <c r="Y238" s="55" t="s">
        <v>272</v>
      </c>
    </row>
    <row r="239" spans="1:25">
      <c r="A239" s="55" t="s">
        <v>783</v>
      </c>
      <c r="B239" s="56">
        <v>1</v>
      </c>
      <c r="C239" s="56">
        <v>0</v>
      </c>
      <c r="D239" s="56">
        <v>0</v>
      </c>
      <c r="F239" s="56">
        <v>1557505.454</v>
      </c>
      <c r="G239" s="56">
        <v>0</v>
      </c>
      <c r="H239" s="56">
        <v>0</v>
      </c>
      <c r="I239" s="56">
        <v>1557505.454</v>
      </c>
      <c r="J239" s="56">
        <v>0</v>
      </c>
      <c r="K239" s="56">
        <v>32</v>
      </c>
      <c r="N239" s="56">
        <v>0</v>
      </c>
      <c r="O239" s="56">
        <v>1</v>
      </c>
      <c r="P239" s="56">
        <v>1</v>
      </c>
      <c r="Q239" s="56">
        <v>0</v>
      </c>
      <c r="R239" s="56">
        <v>35760000</v>
      </c>
      <c r="S239" s="56">
        <v>32</v>
      </c>
      <c r="T239" s="56">
        <v>0</v>
      </c>
      <c r="U239" s="56">
        <v>0</v>
      </c>
      <c r="V239" s="56">
        <v>0</v>
      </c>
      <c r="W239" s="56">
        <v>1557505.45</v>
      </c>
      <c r="X239" s="56">
        <v>0</v>
      </c>
      <c r="Y239" s="55" t="s">
        <v>272</v>
      </c>
    </row>
    <row r="240" spans="1:25">
      <c r="A240" s="55" t="s">
        <v>784</v>
      </c>
      <c r="B240" s="56">
        <v>1</v>
      </c>
      <c r="C240" s="56">
        <v>0</v>
      </c>
      <c r="D240" s="56">
        <v>0</v>
      </c>
      <c r="F240" s="56">
        <v>3461033.263</v>
      </c>
      <c r="G240" s="56">
        <v>0</v>
      </c>
      <c r="H240" s="56">
        <v>0</v>
      </c>
      <c r="I240" s="56">
        <v>0</v>
      </c>
      <c r="J240" s="56">
        <v>0</v>
      </c>
      <c r="K240" s="56">
        <v>82</v>
      </c>
      <c r="N240" s="56">
        <v>34</v>
      </c>
      <c r="O240" s="56">
        <v>2</v>
      </c>
      <c r="P240" s="56">
        <v>2</v>
      </c>
      <c r="Q240" s="56">
        <v>0</v>
      </c>
      <c r="R240" s="56">
        <v>455399113.6</v>
      </c>
      <c r="S240" s="56">
        <v>82</v>
      </c>
      <c r="T240" s="56">
        <v>369820756.7</v>
      </c>
      <c r="U240" s="56">
        <v>1</v>
      </c>
      <c r="V240" s="56">
        <v>0</v>
      </c>
      <c r="W240" s="56">
        <v>3461033.26</v>
      </c>
      <c r="X240" s="56">
        <v>0</v>
      </c>
      <c r="Y240" s="55" t="s">
        <v>272</v>
      </c>
    </row>
    <row r="241" spans="1:25">
      <c r="A241" s="55" t="s">
        <v>785</v>
      </c>
      <c r="B241" s="56">
        <v>2</v>
      </c>
      <c r="C241" s="56">
        <v>0</v>
      </c>
      <c r="D241" s="56">
        <v>0</v>
      </c>
      <c r="F241" s="56">
        <v>6013668.34</v>
      </c>
      <c r="G241" s="56">
        <v>0</v>
      </c>
      <c r="H241" s="56">
        <v>0</v>
      </c>
      <c r="I241" s="56">
        <v>0</v>
      </c>
      <c r="J241" s="56">
        <v>0</v>
      </c>
      <c r="K241" s="56">
        <v>16</v>
      </c>
      <c r="L241" s="56">
        <v>0</v>
      </c>
      <c r="N241" s="56">
        <v>0</v>
      </c>
      <c r="O241" s="56">
        <v>1</v>
      </c>
      <c r="P241" s="56">
        <v>1</v>
      </c>
      <c r="Q241" s="56">
        <v>0</v>
      </c>
      <c r="R241" s="56">
        <v>391525509</v>
      </c>
      <c r="S241" s="56">
        <v>27</v>
      </c>
      <c r="T241" s="56">
        <v>289725000.2</v>
      </c>
      <c r="U241" s="56">
        <v>0</v>
      </c>
      <c r="V241" s="56">
        <v>0</v>
      </c>
      <c r="W241" s="56">
        <v>8475894.42</v>
      </c>
      <c r="X241" s="56">
        <v>0</v>
      </c>
      <c r="Y241" s="55" t="s">
        <v>272</v>
      </c>
    </row>
    <row r="242" spans="1:25">
      <c r="A242" s="55" t="s">
        <v>786</v>
      </c>
      <c r="B242" s="56">
        <v>20</v>
      </c>
      <c r="C242" s="56">
        <v>0</v>
      </c>
      <c r="D242" s="56">
        <v>0</v>
      </c>
      <c r="E242" s="56">
        <v>14900000</v>
      </c>
      <c r="F242" s="56">
        <v>28788191.09</v>
      </c>
      <c r="G242" s="56">
        <v>0</v>
      </c>
      <c r="H242" s="56">
        <v>14900000</v>
      </c>
      <c r="I242" s="56">
        <v>109508.884</v>
      </c>
      <c r="J242" s="56">
        <v>4110093.6</v>
      </c>
      <c r="K242" s="56">
        <v>11</v>
      </c>
      <c r="L242" s="56">
        <v>0</v>
      </c>
      <c r="M242" s="56">
        <v>1</v>
      </c>
      <c r="N242" s="56">
        <v>0</v>
      </c>
      <c r="O242" s="56">
        <v>1</v>
      </c>
      <c r="P242" s="56">
        <v>1</v>
      </c>
      <c r="Q242" s="56">
        <v>4110093.6</v>
      </c>
      <c r="R242" s="56">
        <v>843661908.48</v>
      </c>
      <c r="S242" s="56">
        <v>66</v>
      </c>
      <c r="T242" s="56">
        <v>638959906.04</v>
      </c>
      <c r="U242" s="56">
        <v>0</v>
      </c>
      <c r="V242" s="56">
        <v>0</v>
      </c>
      <c r="W242" s="56">
        <v>57574215.53</v>
      </c>
      <c r="X242" s="56">
        <v>14900000</v>
      </c>
      <c r="Y242" s="55" t="s">
        <v>272</v>
      </c>
    </row>
    <row r="243" spans="1:25">
      <c r="A243" s="55" t="s">
        <v>787</v>
      </c>
      <c r="B243" s="56">
        <v>70</v>
      </c>
      <c r="C243" s="56">
        <v>0</v>
      </c>
      <c r="D243" s="56">
        <v>4</v>
      </c>
      <c r="F243" s="56">
        <v>645021</v>
      </c>
      <c r="G243" s="56">
        <v>0</v>
      </c>
      <c r="H243" s="56">
        <v>0</v>
      </c>
      <c r="I243" s="56">
        <v>0</v>
      </c>
      <c r="J243" s="56">
        <v>0</v>
      </c>
      <c r="K243" s="56">
        <v>7</v>
      </c>
      <c r="L243" s="56">
        <v>756</v>
      </c>
      <c r="M243" s="56">
        <v>5</v>
      </c>
      <c r="N243" s="56">
        <v>756</v>
      </c>
      <c r="O243" s="56">
        <v>5</v>
      </c>
      <c r="P243" s="56">
        <v>5</v>
      </c>
      <c r="Q243" s="56">
        <v>10583985.59</v>
      </c>
      <c r="R243" s="56">
        <v>25275905.54999999</v>
      </c>
      <c r="S243" s="56">
        <v>55</v>
      </c>
      <c r="T243" s="56">
        <v>10583985.59</v>
      </c>
      <c r="U243" s="56">
        <v>0</v>
      </c>
      <c r="V243" s="56">
        <v>0</v>
      </c>
      <c r="W243" s="56">
        <v>645021</v>
      </c>
      <c r="X243" s="56">
        <v>0</v>
      </c>
      <c r="Y243" s="55" t="s">
        <v>546</v>
      </c>
    </row>
    <row r="244" spans="1:25">
      <c r="A244" s="55" t="s">
        <v>788</v>
      </c>
      <c r="B244" s="56">
        <v>135</v>
      </c>
      <c r="C244" s="56">
        <v>0</v>
      </c>
      <c r="D244" s="56">
        <v>0</v>
      </c>
      <c r="F244" s="56">
        <v>1248823.175</v>
      </c>
      <c r="G244" s="56">
        <v>10562389.45</v>
      </c>
      <c r="H244" s="56">
        <v>0</v>
      </c>
      <c r="I244" s="56">
        <v>3033303.500010001</v>
      </c>
      <c r="J244" s="56">
        <v>0</v>
      </c>
      <c r="K244" s="56">
        <v>3.75</v>
      </c>
      <c r="L244" s="56">
        <v>0</v>
      </c>
      <c r="M244" s="56">
        <v>1</v>
      </c>
      <c r="N244" s="56">
        <v>0</v>
      </c>
      <c r="O244" s="56">
        <v>1</v>
      </c>
      <c r="P244" s="56">
        <v>1</v>
      </c>
      <c r="Q244" s="56">
        <v>10960381.05</v>
      </c>
      <c r="R244" s="56">
        <v>60026199.59999999</v>
      </c>
      <c r="S244" s="56">
        <v>27</v>
      </c>
      <c r="T244" s="56">
        <v>10960381.05</v>
      </c>
      <c r="U244" s="56">
        <v>0</v>
      </c>
      <c r="V244" s="56">
        <v>0</v>
      </c>
      <c r="W244" s="56">
        <v>3047142.58</v>
      </c>
      <c r="X244" s="56">
        <v>10562389.45</v>
      </c>
      <c r="Y244" s="55" t="s">
        <v>272</v>
      </c>
    </row>
    <row r="245" spans="1:25">
      <c r="A245" s="55" t="s">
        <v>789</v>
      </c>
      <c r="B245" s="56">
        <v>14</v>
      </c>
      <c r="C245" s="56">
        <v>0</v>
      </c>
      <c r="D245" s="56">
        <v>0</v>
      </c>
      <c r="F245" s="56">
        <v>4952306.248</v>
      </c>
      <c r="G245" s="56">
        <v>3246338.6</v>
      </c>
      <c r="H245" s="56">
        <v>0</v>
      </c>
      <c r="I245" s="56">
        <v>860297.0735000001</v>
      </c>
      <c r="J245" s="56">
        <v>0</v>
      </c>
      <c r="K245" s="56">
        <v>26.5</v>
      </c>
      <c r="L245" s="56">
        <v>0</v>
      </c>
      <c r="M245" s="56">
        <v>1</v>
      </c>
      <c r="N245" s="56">
        <v>0</v>
      </c>
      <c r="O245" s="56">
        <v>1</v>
      </c>
      <c r="P245" s="56">
        <v>1</v>
      </c>
      <c r="Q245" s="56">
        <v>3246338.6</v>
      </c>
      <c r="R245" s="56">
        <v>435852265.43</v>
      </c>
      <c r="S245" s="56">
        <v>68</v>
      </c>
      <c r="T245" s="56">
        <v>305155535.2500001</v>
      </c>
      <c r="U245" s="56">
        <v>0</v>
      </c>
      <c r="V245" s="56">
        <v>0</v>
      </c>
      <c r="W245" s="56">
        <v>10390594.69</v>
      </c>
      <c r="X245" s="56">
        <v>3246338.6</v>
      </c>
      <c r="Y245" s="55" t="s">
        <v>272</v>
      </c>
    </row>
    <row r="246" spans="1:25">
      <c r="A246" s="55" t="s">
        <v>790</v>
      </c>
      <c r="B246" s="56">
        <v>30</v>
      </c>
      <c r="C246" s="56">
        <v>0</v>
      </c>
      <c r="D246" s="56">
        <v>0</v>
      </c>
      <c r="E246" s="56">
        <v>7450000</v>
      </c>
      <c r="F246" s="56">
        <v>1109992.628</v>
      </c>
      <c r="G246" s="56">
        <v>410225.04</v>
      </c>
      <c r="H246" s="56">
        <v>7450000</v>
      </c>
      <c r="I246" s="56">
        <v>285228.0925</v>
      </c>
      <c r="J246" s="56">
        <v>6850000</v>
      </c>
      <c r="K246" s="56">
        <v>16.33</v>
      </c>
      <c r="L246" s="56">
        <v>848</v>
      </c>
      <c r="M246" s="56">
        <v>1</v>
      </c>
      <c r="N246" s="56">
        <v>848</v>
      </c>
      <c r="O246" s="56">
        <v>5</v>
      </c>
      <c r="P246" s="56">
        <v>5</v>
      </c>
      <c r="Q246" s="56">
        <v>7260225.04</v>
      </c>
      <c r="R246" s="56">
        <v>28886539.11</v>
      </c>
      <c r="S246" s="56">
        <v>45</v>
      </c>
      <c r="T246" s="56">
        <v>23872219.39</v>
      </c>
      <c r="U246" s="56">
        <v>1</v>
      </c>
      <c r="V246" s="56">
        <v>0</v>
      </c>
      <c r="W246" s="56">
        <v>1737720.72</v>
      </c>
      <c r="X246" s="56">
        <v>7860225.04</v>
      </c>
      <c r="Y246" s="55" t="s">
        <v>272</v>
      </c>
    </row>
    <row r="247" spans="1:25">
      <c r="A247" s="55" t="s">
        <v>791</v>
      </c>
      <c r="B247" s="56">
        <v>29</v>
      </c>
      <c r="C247" s="56">
        <v>0</v>
      </c>
      <c r="D247" s="56">
        <v>2</v>
      </c>
      <c r="G247" s="56">
        <v>0</v>
      </c>
      <c r="H247" s="56">
        <v>0</v>
      </c>
      <c r="I247" s="56">
        <v>0</v>
      </c>
      <c r="J247" s="56">
        <v>0</v>
      </c>
      <c r="L247" s="56">
        <v>602</v>
      </c>
      <c r="M247" s="56">
        <v>5</v>
      </c>
      <c r="N247" s="56">
        <v>603</v>
      </c>
      <c r="O247" s="56">
        <v>5</v>
      </c>
      <c r="P247" s="56">
        <v>5</v>
      </c>
      <c r="Q247" s="56">
        <v>3631903.2</v>
      </c>
      <c r="R247" s="56">
        <v>6772193.04</v>
      </c>
      <c r="S247" s="56">
        <v>34</v>
      </c>
      <c r="T247" s="56">
        <v>3631903.2</v>
      </c>
      <c r="U247" s="56">
        <v>0</v>
      </c>
      <c r="V247" s="56">
        <v>0</v>
      </c>
      <c r="W247" s="56">
        <v>0</v>
      </c>
      <c r="X247" s="56">
        <v>0</v>
      </c>
      <c r="Y247" s="55" t="s">
        <v>546</v>
      </c>
    </row>
    <row r="248" spans="1:25">
      <c r="A248" s="55" t="s">
        <v>792</v>
      </c>
      <c r="B248" s="56">
        <v>51</v>
      </c>
      <c r="C248" s="56">
        <v>0</v>
      </c>
      <c r="D248" s="56">
        <v>0</v>
      </c>
      <c r="E248" s="56">
        <v>34270000</v>
      </c>
      <c r="F248" s="56">
        <v>1543550.08</v>
      </c>
      <c r="G248" s="56">
        <v>0</v>
      </c>
      <c r="H248" s="56">
        <v>34270000</v>
      </c>
      <c r="I248" s="56">
        <v>0</v>
      </c>
      <c r="J248" s="56">
        <v>7285151.89</v>
      </c>
      <c r="K248" s="56">
        <v>30.5</v>
      </c>
      <c r="L248" s="56">
        <v>0</v>
      </c>
      <c r="M248" s="56">
        <v>1</v>
      </c>
      <c r="N248" s="56">
        <v>0</v>
      </c>
      <c r="O248" s="56">
        <v>1</v>
      </c>
      <c r="P248" s="56">
        <v>1</v>
      </c>
      <c r="Q248" s="56">
        <v>7285151.89</v>
      </c>
      <c r="R248" s="56">
        <v>229460000</v>
      </c>
      <c r="S248" s="56">
        <v>59</v>
      </c>
      <c r="T248" s="56">
        <v>133085933.69</v>
      </c>
      <c r="U248" s="56">
        <v>0</v>
      </c>
      <c r="V248" s="56">
        <v>0</v>
      </c>
      <c r="W248" s="56">
        <v>1907807.67</v>
      </c>
      <c r="X248" s="56">
        <v>34270000</v>
      </c>
      <c r="Y248" s="55" t="s">
        <v>272</v>
      </c>
    </row>
    <row r="249" spans="1:25">
      <c r="A249" s="55" t="s">
        <v>793</v>
      </c>
      <c r="B249" s="56">
        <v>14</v>
      </c>
      <c r="C249" s="56">
        <v>0</v>
      </c>
      <c r="D249" s="56">
        <v>3</v>
      </c>
      <c r="F249" s="56">
        <v>4608440.189</v>
      </c>
      <c r="G249" s="56">
        <v>0</v>
      </c>
      <c r="H249" s="56">
        <v>0</v>
      </c>
      <c r="I249" s="56">
        <v>0</v>
      </c>
      <c r="J249" s="56">
        <v>0</v>
      </c>
      <c r="K249" s="56">
        <v>43</v>
      </c>
      <c r="L249" s="56">
        <v>1274</v>
      </c>
      <c r="M249" s="56">
        <v>5</v>
      </c>
      <c r="N249" s="56">
        <v>1403</v>
      </c>
      <c r="O249" s="56">
        <v>5</v>
      </c>
      <c r="P249" s="56">
        <v>5</v>
      </c>
      <c r="Q249" s="56">
        <v>508664.48</v>
      </c>
      <c r="R249" s="56">
        <v>237204783.09</v>
      </c>
      <c r="S249" s="56">
        <v>94</v>
      </c>
      <c r="T249" s="56">
        <v>144753892.28</v>
      </c>
      <c r="U249" s="56">
        <v>1</v>
      </c>
      <c r="V249" s="56">
        <v>0</v>
      </c>
      <c r="W249" s="56">
        <v>4608440.19</v>
      </c>
      <c r="X249" s="56">
        <v>0</v>
      </c>
      <c r="Y249" s="55" t="s">
        <v>546</v>
      </c>
    </row>
    <row r="250" spans="1:25">
      <c r="A250" s="55" t="s">
        <v>794</v>
      </c>
      <c r="B250" s="56">
        <v>211</v>
      </c>
      <c r="C250" s="56">
        <v>0</v>
      </c>
      <c r="D250" s="56">
        <v>0</v>
      </c>
      <c r="F250" s="56">
        <v>2296070.171</v>
      </c>
      <c r="G250" s="56">
        <v>1739075.66</v>
      </c>
      <c r="H250" s="56">
        <v>0</v>
      </c>
      <c r="I250" s="56">
        <v>1874924.740341</v>
      </c>
      <c r="J250" s="56">
        <v>0</v>
      </c>
      <c r="K250" s="56">
        <v>4.25</v>
      </c>
      <c r="L250" s="56">
        <v>0</v>
      </c>
      <c r="M250" s="56">
        <v>1</v>
      </c>
      <c r="N250" s="56">
        <v>0</v>
      </c>
      <c r="O250" s="56">
        <v>1</v>
      </c>
      <c r="P250" s="56">
        <v>1</v>
      </c>
      <c r="Q250" s="56">
        <v>2639810.06</v>
      </c>
      <c r="R250" s="56">
        <v>49437241.93</v>
      </c>
      <c r="S250" s="56">
        <v>84</v>
      </c>
      <c r="T250" s="56">
        <v>36561133.26</v>
      </c>
      <c r="U250" s="56">
        <v>0</v>
      </c>
      <c r="V250" s="56">
        <v>0</v>
      </c>
      <c r="W250" s="56">
        <v>4191898.92</v>
      </c>
      <c r="X250" s="56">
        <v>1739075.66</v>
      </c>
      <c r="Y250" s="55" t="s">
        <v>272</v>
      </c>
    </row>
    <row r="251" spans="1:25">
      <c r="A251" s="55" t="s">
        <v>795</v>
      </c>
      <c r="B251" s="56">
        <v>5</v>
      </c>
      <c r="C251" s="56">
        <v>0</v>
      </c>
      <c r="D251" s="56">
        <v>0</v>
      </c>
      <c r="F251" s="56">
        <v>1038720.507</v>
      </c>
      <c r="G251" s="56">
        <v>4680000</v>
      </c>
      <c r="H251" s="56">
        <v>0</v>
      </c>
      <c r="I251" s="56">
        <v>1038720.507</v>
      </c>
      <c r="J251" s="56">
        <v>0</v>
      </c>
      <c r="K251" s="56">
        <v>2</v>
      </c>
      <c r="M251" s="56">
        <v>1</v>
      </c>
      <c r="N251" s="56">
        <v>0</v>
      </c>
      <c r="O251" s="56">
        <v>1</v>
      </c>
      <c r="P251" s="56">
        <v>1</v>
      </c>
      <c r="Q251" s="56">
        <v>4680000</v>
      </c>
      <c r="R251" s="56">
        <v>370852060</v>
      </c>
      <c r="S251" s="56">
        <v>112</v>
      </c>
      <c r="T251" s="56">
        <v>4680000</v>
      </c>
      <c r="U251" s="56">
        <v>0</v>
      </c>
      <c r="V251" s="56">
        <v>0</v>
      </c>
      <c r="W251" s="56">
        <v>1038720.51</v>
      </c>
      <c r="X251" s="56">
        <v>4680000</v>
      </c>
      <c r="Y251" s="55" t="s">
        <v>272</v>
      </c>
    </row>
    <row r="252" spans="1:25">
      <c r="A252" s="55" t="s">
        <v>796</v>
      </c>
      <c r="B252" s="56">
        <v>38</v>
      </c>
      <c r="C252" s="56">
        <v>1</v>
      </c>
      <c r="D252" s="56">
        <v>0</v>
      </c>
      <c r="F252" s="56">
        <v>1341007.152</v>
      </c>
      <c r="G252" s="56">
        <v>3066763.09</v>
      </c>
      <c r="H252" s="56">
        <v>0</v>
      </c>
      <c r="I252" s="56">
        <v>1728098.06255</v>
      </c>
      <c r="J252" s="56">
        <v>0</v>
      </c>
      <c r="K252" s="56">
        <v>14</v>
      </c>
      <c r="L252" s="56">
        <v>0</v>
      </c>
      <c r="M252" s="56">
        <v>2</v>
      </c>
      <c r="N252" s="56">
        <v>138</v>
      </c>
      <c r="O252" s="56">
        <v>4</v>
      </c>
      <c r="P252" s="56">
        <v>4</v>
      </c>
      <c r="Q252" s="56">
        <v>3066763.09</v>
      </c>
      <c r="R252" s="56">
        <v>354931106.04</v>
      </c>
      <c r="S252" s="56">
        <v>90</v>
      </c>
      <c r="T252" s="56">
        <v>102817660.47</v>
      </c>
      <c r="U252" s="56">
        <v>1</v>
      </c>
      <c r="V252" s="56">
        <v>0</v>
      </c>
      <c r="W252" s="56">
        <v>3069105.21</v>
      </c>
      <c r="X252" s="56">
        <v>3066763.09</v>
      </c>
      <c r="Y252" s="55" t="s">
        <v>563</v>
      </c>
    </row>
    <row r="253" spans="1:25">
      <c r="A253" s="55" t="s">
        <v>797</v>
      </c>
      <c r="B253" s="56">
        <v>1</v>
      </c>
      <c r="C253" s="56">
        <v>0</v>
      </c>
      <c r="D253" s="56">
        <v>0</v>
      </c>
      <c r="E253" s="56">
        <v>32780000</v>
      </c>
      <c r="F253" s="56">
        <v>886809.1344</v>
      </c>
      <c r="G253" s="56">
        <v>0</v>
      </c>
      <c r="H253" s="56">
        <v>32780000</v>
      </c>
      <c r="I253" s="56">
        <v>0</v>
      </c>
      <c r="J253" s="56">
        <v>483698</v>
      </c>
      <c r="K253" s="56">
        <v>23</v>
      </c>
      <c r="N253" s="56">
        <v>0</v>
      </c>
      <c r="O253" s="56">
        <v>1</v>
      </c>
      <c r="P253" s="56">
        <v>1</v>
      </c>
      <c r="Q253" s="56">
        <v>483698</v>
      </c>
      <c r="R253" s="56">
        <v>32780000</v>
      </c>
      <c r="S253" s="56">
        <v>23</v>
      </c>
      <c r="T253" s="56">
        <v>483698</v>
      </c>
      <c r="U253" s="56">
        <v>0</v>
      </c>
      <c r="V253" s="56">
        <v>0</v>
      </c>
      <c r="W253" s="56">
        <v>24184.9</v>
      </c>
      <c r="X253" s="56">
        <v>32780000</v>
      </c>
      <c r="Y253" s="55" t="s">
        <v>272</v>
      </c>
    </row>
    <row r="254" spans="1:25">
      <c r="A254" s="55" t="s">
        <v>798</v>
      </c>
      <c r="B254" s="56">
        <v>54</v>
      </c>
      <c r="C254" s="56">
        <v>0</v>
      </c>
      <c r="D254" s="56">
        <v>1</v>
      </c>
      <c r="F254" s="56">
        <v>3875926.523</v>
      </c>
      <c r="G254" s="56">
        <v>8244457.27</v>
      </c>
      <c r="H254" s="56">
        <v>0</v>
      </c>
      <c r="I254" s="56">
        <v>7048717.038</v>
      </c>
      <c r="J254" s="56">
        <v>0</v>
      </c>
      <c r="K254" s="56">
        <v>18</v>
      </c>
      <c r="L254" s="56">
        <v>0</v>
      </c>
      <c r="M254" s="56">
        <v>1</v>
      </c>
      <c r="N254" s="56">
        <v>1227</v>
      </c>
      <c r="O254" s="56">
        <v>5</v>
      </c>
      <c r="P254" s="56">
        <v>5</v>
      </c>
      <c r="Q254" s="56">
        <v>8244457.27</v>
      </c>
      <c r="R254" s="56">
        <v>189498079.31</v>
      </c>
      <c r="S254" s="56">
        <v>73</v>
      </c>
      <c r="T254" s="56">
        <v>38006089.27</v>
      </c>
      <c r="U254" s="56">
        <v>0</v>
      </c>
      <c r="V254" s="56">
        <v>0</v>
      </c>
      <c r="W254" s="56">
        <v>7048717.04</v>
      </c>
      <c r="X254" s="56">
        <v>8244457.27</v>
      </c>
      <c r="Y254" s="55" t="s">
        <v>546</v>
      </c>
    </row>
    <row r="255" spans="1:25">
      <c r="A255" s="55" t="s">
        <v>799</v>
      </c>
      <c r="B255" s="56">
        <v>3</v>
      </c>
      <c r="C255" s="56">
        <v>0</v>
      </c>
      <c r="D255" s="56">
        <v>0</v>
      </c>
      <c r="F255" s="56">
        <v>2002560</v>
      </c>
      <c r="G255" s="56">
        <v>1599780</v>
      </c>
      <c r="H255" s="56">
        <v>0</v>
      </c>
      <c r="I255" s="56">
        <v>2117610.5821</v>
      </c>
      <c r="J255" s="56">
        <v>0</v>
      </c>
      <c r="K255" s="56">
        <v>0.5</v>
      </c>
      <c r="M255" s="56">
        <v>1</v>
      </c>
      <c r="N255" s="56">
        <v>0</v>
      </c>
      <c r="O255" s="56">
        <v>1</v>
      </c>
      <c r="P255" s="56">
        <v>1</v>
      </c>
      <c r="Q255" s="56">
        <v>1599780</v>
      </c>
      <c r="R255" s="56">
        <v>2206690</v>
      </c>
      <c r="S255" s="56">
        <v>4</v>
      </c>
      <c r="T255" s="56">
        <v>1599780</v>
      </c>
      <c r="U255" s="56">
        <v>0</v>
      </c>
      <c r="V255" s="56">
        <v>0</v>
      </c>
      <c r="W255" s="56">
        <v>2117610.58</v>
      </c>
      <c r="X255" s="56">
        <v>1599780</v>
      </c>
      <c r="Y255" s="55" t="s">
        <v>272</v>
      </c>
    </row>
    <row r="256" spans="1:25">
      <c r="A256" s="55" t="s">
        <v>800</v>
      </c>
      <c r="B256" s="56">
        <v>182</v>
      </c>
      <c r="C256" s="56">
        <v>0</v>
      </c>
      <c r="D256" s="56">
        <v>4</v>
      </c>
      <c r="F256" s="56">
        <v>534165</v>
      </c>
      <c r="G256" s="56">
        <v>417120</v>
      </c>
      <c r="H256" s="56">
        <v>0</v>
      </c>
      <c r="I256" s="56">
        <v>534165</v>
      </c>
      <c r="J256" s="56">
        <v>0</v>
      </c>
      <c r="K256" s="56">
        <v>2</v>
      </c>
      <c r="L256" s="56">
        <v>340</v>
      </c>
      <c r="M256" s="56">
        <v>2</v>
      </c>
      <c r="N256" s="56">
        <v>340</v>
      </c>
      <c r="O256" s="56">
        <v>5</v>
      </c>
      <c r="P256" s="56">
        <v>5</v>
      </c>
      <c r="Q256" s="56">
        <v>3319684.84</v>
      </c>
      <c r="R256" s="56">
        <v>74103868.60000001</v>
      </c>
      <c r="S256" s="56">
        <v>57</v>
      </c>
      <c r="T256" s="56">
        <v>3319684.84</v>
      </c>
      <c r="U256" s="56">
        <v>0</v>
      </c>
      <c r="V256" s="56">
        <v>0</v>
      </c>
      <c r="W256" s="56">
        <v>534165</v>
      </c>
      <c r="X256" s="56">
        <v>417120</v>
      </c>
      <c r="Y256" s="55" t="s">
        <v>546</v>
      </c>
    </row>
    <row r="257" spans="1:25">
      <c r="A257" s="55" t="s">
        <v>801</v>
      </c>
      <c r="B257" s="56">
        <v>19</v>
      </c>
      <c r="C257" s="56">
        <v>1</v>
      </c>
      <c r="D257" s="56">
        <v>5</v>
      </c>
      <c r="F257" s="56">
        <v>1459180.761</v>
      </c>
      <c r="G257" s="56">
        <v>0</v>
      </c>
      <c r="H257" s="56">
        <v>0</v>
      </c>
      <c r="I257" s="56">
        <v>0</v>
      </c>
      <c r="J257" s="56">
        <v>0</v>
      </c>
      <c r="K257" s="56">
        <v>30</v>
      </c>
      <c r="L257" s="56">
        <v>452</v>
      </c>
      <c r="M257" s="56">
        <v>5</v>
      </c>
      <c r="N257" s="56">
        <v>453</v>
      </c>
      <c r="O257" s="56">
        <v>5</v>
      </c>
      <c r="P257" s="56">
        <v>5</v>
      </c>
      <c r="Q257" s="56">
        <v>8715500.219999999</v>
      </c>
      <c r="R257" s="56">
        <v>59542518.78000001</v>
      </c>
      <c r="S257" s="56">
        <v>78</v>
      </c>
      <c r="T257" s="56">
        <v>46913552.32</v>
      </c>
      <c r="U257" s="56">
        <v>1</v>
      </c>
      <c r="V257" s="56">
        <v>0</v>
      </c>
      <c r="W257" s="56">
        <v>1459180.76</v>
      </c>
      <c r="X257" s="56">
        <v>0</v>
      </c>
      <c r="Y257" s="55" t="s">
        <v>546</v>
      </c>
    </row>
    <row r="258" spans="1:25">
      <c r="A258" s="55" t="s">
        <v>802</v>
      </c>
      <c r="B258" s="56">
        <v>14</v>
      </c>
      <c r="C258" s="56">
        <v>0</v>
      </c>
      <c r="D258" s="56">
        <v>0</v>
      </c>
      <c r="F258" s="56">
        <v>1157062.823</v>
      </c>
      <c r="G258" s="56">
        <v>8150212.609999998</v>
      </c>
      <c r="H258" s="56">
        <v>0</v>
      </c>
      <c r="I258" s="56">
        <v>2058395.223858</v>
      </c>
      <c r="J258" s="56">
        <v>0</v>
      </c>
      <c r="K258" s="56">
        <v>4.83</v>
      </c>
      <c r="L258" s="56">
        <v>0</v>
      </c>
      <c r="M258" s="56">
        <v>1</v>
      </c>
      <c r="N258" s="56">
        <v>0</v>
      </c>
      <c r="O258" s="56">
        <v>1</v>
      </c>
      <c r="P258" s="56">
        <v>1</v>
      </c>
      <c r="Q258" s="56">
        <v>8150212.609999998</v>
      </c>
      <c r="R258" s="56">
        <v>14776742.73</v>
      </c>
      <c r="S258" s="56">
        <v>14</v>
      </c>
      <c r="T258" s="56">
        <v>8150212.609999998</v>
      </c>
      <c r="U258" s="56">
        <v>0</v>
      </c>
      <c r="V258" s="56">
        <v>0</v>
      </c>
      <c r="W258" s="56">
        <v>2058395.22</v>
      </c>
      <c r="X258" s="56">
        <v>8150212.61</v>
      </c>
      <c r="Y258" s="55" t="s">
        <v>272</v>
      </c>
    </row>
    <row r="259" spans="1:25">
      <c r="A259" s="55" t="s">
        <v>803</v>
      </c>
      <c r="B259" s="56">
        <v>17</v>
      </c>
      <c r="C259" s="56">
        <v>0</v>
      </c>
      <c r="D259" s="56">
        <v>2</v>
      </c>
      <c r="F259" s="56">
        <v>991311.04</v>
      </c>
      <c r="G259" s="56">
        <v>0</v>
      </c>
      <c r="H259" s="56">
        <v>0</v>
      </c>
      <c r="I259" s="56">
        <v>0</v>
      </c>
      <c r="J259" s="56">
        <v>0</v>
      </c>
      <c r="K259" s="56">
        <v>68</v>
      </c>
      <c r="L259" s="56">
        <v>0</v>
      </c>
      <c r="M259" s="56">
        <v>1</v>
      </c>
      <c r="N259" s="56">
        <v>391</v>
      </c>
      <c r="O259" s="56">
        <v>5</v>
      </c>
      <c r="P259" s="56">
        <v>5</v>
      </c>
      <c r="Q259" s="56">
        <v>7689430.76</v>
      </c>
      <c r="R259" s="56">
        <v>26596500</v>
      </c>
      <c r="S259" s="56">
        <v>98</v>
      </c>
      <c r="T259" s="56">
        <v>7689430.76</v>
      </c>
      <c r="U259" s="56">
        <v>0</v>
      </c>
      <c r="V259" s="56">
        <v>2</v>
      </c>
      <c r="W259" s="56">
        <v>991311.04</v>
      </c>
      <c r="X259" s="56">
        <v>0</v>
      </c>
      <c r="Y259" s="55" t="s">
        <v>546</v>
      </c>
    </row>
    <row r="260" spans="1:25">
      <c r="A260" s="55" t="s">
        <v>804</v>
      </c>
      <c r="B260" s="56">
        <v>52</v>
      </c>
      <c r="C260" s="56">
        <v>0</v>
      </c>
      <c r="D260" s="56">
        <v>0</v>
      </c>
      <c r="F260" s="56">
        <v>1431919.118</v>
      </c>
      <c r="G260" s="56">
        <v>9619400.73</v>
      </c>
      <c r="H260" s="56">
        <v>0</v>
      </c>
      <c r="I260" s="56">
        <v>3467407.56746</v>
      </c>
      <c r="J260" s="56">
        <v>0</v>
      </c>
      <c r="K260" s="56">
        <v>3</v>
      </c>
      <c r="L260" s="56">
        <v>0</v>
      </c>
      <c r="M260" s="56">
        <v>2</v>
      </c>
      <c r="N260" s="56">
        <v>0</v>
      </c>
      <c r="O260" s="56">
        <v>1</v>
      </c>
      <c r="P260" s="56">
        <v>2</v>
      </c>
      <c r="Q260" s="56">
        <v>9619400.73</v>
      </c>
      <c r="R260" s="56">
        <v>16012200.07</v>
      </c>
      <c r="S260" s="56">
        <v>97</v>
      </c>
      <c r="T260" s="56">
        <v>9619400.73</v>
      </c>
      <c r="U260" s="56">
        <v>0</v>
      </c>
      <c r="V260" s="56">
        <v>0</v>
      </c>
      <c r="W260" s="56">
        <v>3467407.57</v>
      </c>
      <c r="X260" s="56">
        <v>9619400.73</v>
      </c>
      <c r="Y260" s="55" t="s">
        <v>272</v>
      </c>
    </row>
    <row r="261" spans="1:25">
      <c r="A261" s="55" t="s">
        <v>805</v>
      </c>
      <c r="B261" s="56">
        <v>2</v>
      </c>
      <c r="C261" s="56">
        <v>0</v>
      </c>
      <c r="D261" s="56">
        <v>0</v>
      </c>
      <c r="F261" s="56">
        <v>596000</v>
      </c>
      <c r="G261" s="56">
        <v>0</v>
      </c>
      <c r="H261" s="56">
        <v>0</v>
      </c>
      <c r="I261" s="56">
        <v>0</v>
      </c>
      <c r="J261" s="56">
        <v>0</v>
      </c>
      <c r="K261" s="56">
        <v>7</v>
      </c>
      <c r="M261" s="56">
        <v>1</v>
      </c>
      <c r="N261" s="56">
        <v>0</v>
      </c>
      <c r="O261" s="56">
        <v>1</v>
      </c>
      <c r="P261" s="56">
        <v>1</v>
      </c>
      <c r="Q261" s="56">
        <v>0</v>
      </c>
      <c r="R261" s="56">
        <v>177585650</v>
      </c>
      <c r="S261" s="56">
        <v>27</v>
      </c>
      <c r="T261" s="56">
        <v>115200000</v>
      </c>
      <c r="U261" s="56">
        <v>0</v>
      </c>
      <c r="V261" s="56">
        <v>0</v>
      </c>
      <c r="W261" s="56">
        <v>596000</v>
      </c>
      <c r="X261" s="56">
        <v>0</v>
      </c>
      <c r="Y261" s="55" t="s">
        <v>272</v>
      </c>
    </row>
    <row r="262" spans="1:25">
      <c r="A262" s="55" t="s">
        <v>806</v>
      </c>
      <c r="B262" s="56">
        <v>2</v>
      </c>
      <c r="C262" s="56">
        <v>0</v>
      </c>
      <c r="D262" s="56">
        <v>0</v>
      </c>
      <c r="F262" s="56">
        <v>5754790.662</v>
      </c>
      <c r="G262" s="56">
        <v>0</v>
      </c>
      <c r="H262" s="56">
        <v>0</v>
      </c>
      <c r="I262" s="56">
        <v>0</v>
      </c>
      <c r="J262" s="56">
        <v>0</v>
      </c>
      <c r="K262" s="56">
        <v>29</v>
      </c>
      <c r="N262" s="56">
        <v>127</v>
      </c>
      <c r="O262" s="56">
        <v>4</v>
      </c>
      <c r="P262" s="56">
        <v>4</v>
      </c>
      <c r="Q262" s="56">
        <v>0</v>
      </c>
      <c r="R262" s="56">
        <v>237468750</v>
      </c>
      <c r="S262" s="56">
        <v>44</v>
      </c>
      <c r="T262" s="56">
        <v>95090570.52</v>
      </c>
      <c r="U262" s="56">
        <v>1</v>
      </c>
      <c r="V262" s="56">
        <v>0</v>
      </c>
      <c r="W262" s="56">
        <v>5754790.66</v>
      </c>
      <c r="X262" s="56">
        <v>0</v>
      </c>
      <c r="Y262" s="55" t="s">
        <v>272</v>
      </c>
    </row>
    <row r="263" spans="1:25">
      <c r="A263" s="55" t="s">
        <v>807</v>
      </c>
      <c r="B263" s="56">
        <v>77</v>
      </c>
      <c r="C263" s="56">
        <v>0</v>
      </c>
      <c r="D263" s="56">
        <v>0</v>
      </c>
      <c r="F263" s="56">
        <v>826092.7343</v>
      </c>
      <c r="G263" s="56">
        <v>2294867.53</v>
      </c>
      <c r="H263" s="56">
        <v>0</v>
      </c>
      <c r="I263" s="56">
        <v>1027081.950375</v>
      </c>
      <c r="J263" s="56">
        <v>0</v>
      </c>
      <c r="K263" s="56">
        <v>5.33</v>
      </c>
      <c r="L263" s="56">
        <v>2</v>
      </c>
      <c r="M263" s="56">
        <v>2</v>
      </c>
      <c r="N263" s="56">
        <v>57</v>
      </c>
      <c r="O263" s="56">
        <v>2</v>
      </c>
      <c r="P263" s="56">
        <v>2</v>
      </c>
      <c r="Q263" s="56">
        <v>2294867.53</v>
      </c>
      <c r="R263" s="56">
        <v>30384234.96</v>
      </c>
      <c r="S263" s="56">
        <v>48</v>
      </c>
      <c r="T263" s="56">
        <v>2294867.53</v>
      </c>
      <c r="U263" s="56">
        <v>1</v>
      </c>
      <c r="V263" s="56">
        <v>1</v>
      </c>
      <c r="W263" s="56">
        <v>1027081.95</v>
      </c>
      <c r="X263" s="56">
        <v>2294867.53</v>
      </c>
      <c r="Y263" s="55" t="s">
        <v>563</v>
      </c>
    </row>
    <row r="264" spans="1:25">
      <c r="A264" s="55" t="s">
        <v>808</v>
      </c>
      <c r="B264" s="56">
        <v>10</v>
      </c>
      <c r="C264" s="56">
        <v>0</v>
      </c>
      <c r="D264" s="56">
        <v>1</v>
      </c>
      <c r="G264" s="56">
        <v>0</v>
      </c>
      <c r="H264" s="56">
        <v>0</v>
      </c>
      <c r="I264" s="56">
        <v>0</v>
      </c>
      <c r="J264" s="56">
        <v>0</v>
      </c>
      <c r="L264" s="56">
        <v>279</v>
      </c>
      <c r="M264" s="56">
        <v>3</v>
      </c>
      <c r="N264" s="56">
        <v>279</v>
      </c>
      <c r="O264" s="56">
        <v>5</v>
      </c>
      <c r="P264" s="56">
        <v>5</v>
      </c>
      <c r="Q264" s="56">
        <v>62279.34</v>
      </c>
      <c r="R264" s="56">
        <v>187827732.69</v>
      </c>
      <c r="S264" s="56">
        <v>88</v>
      </c>
      <c r="T264" s="56">
        <v>62279.34</v>
      </c>
      <c r="U264" s="56">
        <v>0</v>
      </c>
      <c r="V264" s="56">
        <v>1</v>
      </c>
      <c r="W264" s="56">
        <v>0</v>
      </c>
      <c r="X264" s="56">
        <v>0</v>
      </c>
      <c r="Y264" s="55" t="s">
        <v>546</v>
      </c>
    </row>
    <row r="265" spans="1:25">
      <c r="A265" s="55" t="s">
        <v>809</v>
      </c>
      <c r="B265" s="56">
        <v>62</v>
      </c>
      <c r="C265" s="56">
        <v>0</v>
      </c>
      <c r="D265" s="56">
        <v>0</v>
      </c>
      <c r="F265" s="56">
        <v>826742.5919999999</v>
      </c>
      <c r="G265" s="56">
        <v>538920</v>
      </c>
      <c r="H265" s="56">
        <v>0</v>
      </c>
      <c r="I265" s="56">
        <v>1088971.7652</v>
      </c>
      <c r="J265" s="56">
        <v>0</v>
      </c>
      <c r="K265" s="56">
        <v>1.5</v>
      </c>
      <c r="L265" s="56">
        <v>0</v>
      </c>
      <c r="M265" s="56">
        <v>1</v>
      </c>
      <c r="N265" s="56">
        <v>0</v>
      </c>
      <c r="O265" s="56">
        <v>1</v>
      </c>
      <c r="P265" s="56">
        <v>1</v>
      </c>
      <c r="Q265" s="56">
        <v>689258.4</v>
      </c>
      <c r="R265" s="56">
        <v>1594392.38</v>
      </c>
      <c r="S265" s="56">
        <v>19</v>
      </c>
      <c r="T265" s="56">
        <v>689258.4</v>
      </c>
      <c r="U265" s="56">
        <v>0</v>
      </c>
      <c r="V265" s="56">
        <v>0</v>
      </c>
      <c r="W265" s="56">
        <v>1093856.24</v>
      </c>
      <c r="X265" s="56">
        <v>538920</v>
      </c>
      <c r="Y265" s="55" t="s">
        <v>272</v>
      </c>
    </row>
    <row r="266" spans="1:25">
      <c r="A266" s="55" t="s">
        <v>810</v>
      </c>
      <c r="B266" s="56">
        <v>26</v>
      </c>
      <c r="C266" s="56">
        <v>0</v>
      </c>
      <c r="D266" s="56">
        <v>0</v>
      </c>
      <c r="F266" s="56">
        <v>10560375</v>
      </c>
      <c r="G266" s="56">
        <v>71266799.95</v>
      </c>
      <c r="H266" s="56">
        <v>0</v>
      </c>
      <c r="I266" s="56">
        <v>34403698.59899999</v>
      </c>
      <c r="J266" s="56">
        <v>0</v>
      </c>
      <c r="K266" s="56">
        <v>1.92</v>
      </c>
      <c r="L266" s="56">
        <v>0</v>
      </c>
      <c r="M266" s="56">
        <v>1</v>
      </c>
      <c r="N266" s="56">
        <v>0</v>
      </c>
      <c r="O266" s="56">
        <v>1</v>
      </c>
      <c r="P266" s="56">
        <v>1</v>
      </c>
      <c r="Q266" s="56">
        <v>71266799.95</v>
      </c>
      <c r="R266" s="56">
        <v>1661707489.72</v>
      </c>
      <c r="S266" s="56">
        <v>119</v>
      </c>
      <c r="T266" s="56">
        <v>858597857.15</v>
      </c>
      <c r="U266" s="56">
        <v>0</v>
      </c>
      <c r="V266" s="56">
        <v>0</v>
      </c>
      <c r="W266" s="56">
        <v>47220401.3</v>
      </c>
      <c r="X266" s="56">
        <v>71266799.95</v>
      </c>
      <c r="Y266" s="55" t="s">
        <v>272</v>
      </c>
    </row>
    <row r="267" spans="1:25">
      <c r="A267" s="55" t="s">
        <v>811</v>
      </c>
      <c r="B267" s="56">
        <v>2</v>
      </c>
      <c r="C267" s="56">
        <v>0</v>
      </c>
      <c r="D267" s="56">
        <v>0</v>
      </c>
      <c r="E267" s="56">
        <v>7450000</v>
      </c>
      <c r="F267" s="56">
        <v>120928.5183</v>
      </c>
      <c r="G267" s="56">
        <v>0</v>
      </c>
      <c r="H267" s="56">
        <v>11920000</v>
      </c>
      <c r="I267" s="56">
        <v>0</v>
      </c>
      <c r="J267" s="56">
        <v>4626993.5</v>
      </c>
      <c r="K267" s="56">
        <v>37</v>
      </c>
      <c r="N267" s="56">
        <v>33</v>
      </c>
      <c r="O267" s="56">
        <v>2</v>
      </c>
      <c r="P267" s="56">
        <v>2</v>
      </c>
      <c r="Q267" s="56">
        <v>4626993.5</v>
      </c>
      <c r="R267" s="56">
        <v>11920000</v>
      </c>
      <c r="S267" s="56">
        <v>58</v>
      </c>
      <c r="T267" s="56">
        <v>4626993.5</v>
      </c>
      <c r="U267" s="56">
        <v>2</v>
      </c>
      <c r="V267" s="56">
        <v>0</v>
      </c>
      <c r="W267" s="56">
        <v>231349.68</v>
      </c>
      <c r="X267" s="56">
        <v>11920000</v>
      </c>
      <c r="Y267" s="55" t="s">
        <v>272</v>
      </c>
    </row>
    <row r="268" spans="1:25">
      <c r="A268" s="55" t="s">
        <v>812</v>
      </c>
      <c r="B268" s="56">
        <v>462</v>
      </c>
      <c r="C268" s="56">
        <v>0</v>
      </c>
      <c r="D268" s="56">
        <v>0</v>
      </c>
      <c r="F268" s="56">
        <v>3552264.993</v>
      </c>
      <c r="G268" s="56">
        <v>13016631.37</v>
      </c>
      <c r="H268" s="56">
        <v>0</v>
      </c>
      <c r="I268" s="56">
        <v>8424898.283</v>
      </c>
      <c r="J268" s="56">
        <v>0</v>
      </c>
      <c r="K268" s="56">
        <v>3.13</v>
      </c>
      <c r="L268" s="56">
        <v>26</v>
      </c>
      <c r="M268" s="56">
        <v>5</v>
      </c>
      <c r="N268" s="56">
        <v>215</v>
      </c>
      <c r="O268" s="56">
        <v>5</v>
      </c>
      <c r="P268" s="56">
        <v>5</v>
      </c>
      <c r="Q268" s="56">
        <v>13016631.37</v>
      </c>
      <c r="R268" s="56">
        <v>35935355.12000001</v>
      </c>
      <c r="S268" s="56">
        <v>44</v>
      </c>
      <c r="T268" s="56">
        <v>13016631.37</v>
      </c>
      <c r="U268" s="56">
        <v>0</v>
      </c>
      <c r="V268" s="56">
        <v>0</v>
      </c>
      <c r="W268" s="56">
        <v>8424898.279999999</v>
      </c>
      <c r="X268" s="56">
        <v>13016631.37</v>
      </c>
      <c r="Y268" s="55" t="s">
        <v>272</v>
      </c>
    </row>
    <row r="269" spans="1:25">
      <c r="A269" s="55" t="s">
        <v>813</v>
      </c>
      <c r="B269" s="56">
        <v>2</v>
      </c>
      <c r="C269" s="56">
        <v>0</v>
      </c>
      <c r="D269" s="56">
        <v>0</v>
      </c>
      <c r="G269" s="56">
        <v>0</v>
      </c>
      <c r="H269" s="56">
        <v>0</v>
      </c>
      <c r="I269" s="56">
        <v>0</v>
      </c>
      <c r="J269" s="56">
        <v>0</v>
      </c>
      <c r="M269" s="56">
        <v>1</v>
      </c>
      <c r="N269" s="56">
        <v>0</v>
      </c>
      <c r="O269" s="56">
        <v>1</v>
      </c>
      <c r="P269" s="56">
        <v>1</v>
      </c>
      <c r="Q269" s="56">
        <v>0</v>
      </c>
      <c r="R269" s="56">
        <v>55428372.5</v>
      </c>
      <c r="S269" s="56">
        <v>121</v>
      </c>
      <c r="T269" s="56">
        <v>0</v>
      </c>
      <c r="U269" s="56">
        <v>0</v>
      </c>
      <c r="V269" s="56">
        <v>0</v>
      </c>
      <c r="W269" s="56">
        <v>0</v>
      </c>
      <c r="X269" s="56">
        <v>0</v>
      </c>
      <c r="Y269" s="55" t="s">
        <v>272</v>
      </c>
    </row>
    <row r="270" spans="1:25">
      <c r="A270" s="55" t="s">
        <v>814</v>
      </c>
      <c r="B270" s="56">
        <v>48</v>
      </c>
      <c r="C270" s="56">
        <v>0</v>
      </c>
      <c r="D270" s="56">
        <v>1</v>
      </c>
      <c r="F270" s="56">
        <v>1616513.86</v>
      </c>
      <c r="G270" s="56">
        <v>1226928.4</v>
      </c>
      <c r="H270" s="56">
        <v>0</v>
      </c>
      <c r="I270" s="56">
        <v>1255144.62631</v>
      </c>
      <c r="J270" s="56">
        <v>0</v>
      </c>
      <c r="K270" s="56">
        <v>23</v>
      </c>
      <c r="L270" s="56">
        <v>705</v>
      </c>
      <c r="M270" s="56">
        <v>5</v>
      </c>
      <c r="N270" s="56">
        <v>705</v>
      </c>
      <c r="O270" s="56">
        <v>5</v>
      </c>
      <c r="P270" s="56">
        <v>5</v>
      </c>
      <c r="Q270" s="56">
        <v>1529224.9</v>
      </c>
      <c r="R270" s="56">
        <v>236764429.98</v>
      </c>
      <c r="S270" s="56">
        <v>83</v>
      </c>
      <c r="T270" s="56">
        <v>1529224.9</v>
      </c>
      <c r="U270" s="56">
        <v>0</v>
      </c>
      <c r="V270" s="56">
        <v>0</v>
      </c>
      <c r="W270" s="56">
        <v>2871658.49</v>
      </c>
      <c r="X270" s="56">
        <v>1226928.4</v>
      </c>
      <c r="Y270" s="55" t="s">
        <v>546</v>
      </c>
    </row>
    <row r="271" spans="1:25">
      <c r="A271" s="55" t="s">
        <v>815</v>
      </c>
      <c r="B271" s="56">
        <v>5</v>
      </c>
      <c r="C271" s="56">
        <v>0</v>
      </c>
      <c r="D271" s="56">
        <v>0</v>
      </c>
      <c r="F271" s="56">
        <v>7425094.46</v>
      </c>
      <c r="G271" s="56">
        <v>3390000</v>
      </c>
      <c r="H271" s="56">
        <v>0</v>
      </c>
      <c r="I271" s="56">
        <v>1796382.03</v>
      </c>
      <c r="J271" s="56">
        <v>0</v>
      </c>
      <c r="K271" s="56">
        <v>14</v>
      </c>
      <c r="L271" s="56">
        <v>0</v>
      </c>
      <c r="N271" s="56">
        <v>0</v>
      </c>
      <c r="O271" s="56">
        <v>1</v>
      </c>
      <c r="P271" s="56">
        <v>1</v>
      </c>
      <c r="Q271" s="56">
        <v>3390000</v>
      </c>
      <c r="R271" s="56">
        <v>316571954.52</v>
      </c>
      <c r="S271" s="56">
        <v>47</v>
      </c>
      <c r="T271" s="56">
        <v>256984375.1</v>
      </c>
      <c r="U271" s="56">
        <v>0</v>
      </c>
      <c r="V271" s="56">
        <v>0</v>
      </c>
      <c r="W271" s="56">
        <v>11819825.26</v>
      </c>
      <c r="X271" s="56">
        <v>3390000</v>
      </c>
      <c r="Y271" s="55" t="s">
        <v>272</v>
      </c>
    </row>
    <row r="272" spans="1:25">
      <c r="A272" s="55" t="s">
        <v>816</v>
      </c>
      <c r="B272" s="56">
        <v>10</v>
      </c>
      <c r="C272" s="56">
        <v>0</v>
      </c>
      <c r="D272" s="56">
        <v>0</v>
      </c>
      <c r="F272" s="56">
        <v>3337600</v>
      </c>
      <c r="G272" s="56">
        <v>8392104.940000001</v>
      </c>
      <c r="H272" s="56">
        <v>0</v>
      </c>
      <c r="I272" s="56">
        <v>5232919.87</v>
      </c>
      <c r="J272" s="56">
        <v>0</v>
      </c>
      <c r="K272" s="56">
        <v>2</v>
      </c>
      <c r="M272" s="56">
        <v>1</v>
      </c>
      <c r="N272" s="56">
        <v>0</v>
      </c>
      <c r="O272" s="56">
        <v>1</v>
      </c>
      <c r="P272" s="56">
        <v>1</v>
      </c>
      <c r="Q272" s="56">
        <v>8392104.940000001</v>
      </c>
      <c r="R272" s="56">
        <v>10685992.43</v>
      </c>
      <c r="S272" s="56">
        <v>10</v>
      </c>
      <c r="T272" s="56">
        <v>8392104.940000001</v>
      </c>
      <c r="U272" s="56">
        <v>0</v>
      </c>
      <c r="V272" s="56">
        <v>0</v>
      </c>
      <c r="W272" s="56">
        <v>5232919.87</v>
      </c>
      <c r="X272" s="56">
        <v>8392104.939999999</v>
      </c>
      <c r="Y272" s="55" t="s">
        <v>272</v>
      </c>
    </row>
    <row r="273" spans="1:25">
      <c r="A273" s="55" t="s">
        <v>817</v>
      </c>
      <c r="B273" s="56">
        <v>7</v>
      </c>
      <c r="C273" s="56">
        <v>0</v>
      </c>
      <c r="D273" s="56">
        <v>0</v>
      </c>
      <c r="F273" s="56">
        <v>2290214.359</v>
      </c>
      <c r="G273" s="56">
        <v>0</v>
      </c>
      <c r="H273" s="56">
        <v>0</v>
      </c>
      <c r="I273" s="56">
        <v>1189045.7831</v>
      </c>
      <c r="J273" s="56">
        <v>0</v>
      </c>
      <c r="K273" s="56">
        <v>58</v>
      </c>
      <c r="L273" s="56">
        <v>0</v>
      </c>
      <c r="N273" s="56">
        <v>0</v>
      </c>
      <c r="O273" s="56">
        <v>1</v>
      </c>
      <c r="P273" s="56">
        <v>1</v>
      </c>
      <c r="Q273" s="56">
        <v>0</v>
      </c>
      <c r="R273" s="56">
        <v>167063042.03</v>
      </c>
      <c r="S273" s="56">
        <v>129</v>
      </c>
      <c r="T273" s="56">
        <v>90005619.59999999</v>
      </c>
      <c r="U273" s="56">
        <v>0</v>
      </c>
      <c r="V273" s="56">
        <v>0</v>
      </c>
      <c r="W273" s="56">
        <v>4553216.02</v>
      </c>
      <c r="X273" s="56">
        <v>0</v>
      </c>
      <c r="Y273" s="55" t="s">
        <v>272</v>
      </c>
    </row>
    <row r="274" spans="1:25">
      <c r="A274" s="55" t="s">
        <v>818</v>
      </c>
      <c r="B274" s="56">
        <v>37</v>
      </c>
      <c r="C274" s="56">
        <v>0</v>
      </c>
      <c r="D274" s="56">
        <v>0</v>
      </c>
      <c r="F274" s="56">
        <v>24390343.13</v>
      </c>
      <c r="G274" s="56">
        <v>0</v>
      </c>
      <c r="H274" s="56">
        <v>0</v>
      </c>
      <c r="I274" s="56">
        <v>0</v>
      </c>
      <c r="J274" s="56">
        <v>0</v>
      </c>
      <c r="K274" s="56">
        <v>6.86</v>
      </c>
      <c r="L274" s="56">
        <v>0</v>
      </c>
      <c r="M274" s="56">
        <v>1</v>
      </c>
      <c r="N274" s="56">
        <v>0</v>
      </c>
      <c r="O274" s="56">
        <v>1</v>
      </c>
      <c r="P274" s="56">
        <v>1</v>
      </c>
      <c r="Q274" s="56">
        <v>34119091.87</v>
      </c>
      <c r="R274" s="56">
        <v>953549222.2900002</v>
      </c>
      <c r="S274" s="56">
        <v>64</v>
      </c>
      <c r="T274" s="56">
        <v>249717091.87</v>
      </c>
      <c r="U274" s="56">
        <v>0</v>
      </c>
      <c r="V274" s="56">
        <v>1</v>
      </c>
      <c r="W274" s="56">
        <v>64946173.94</v>
      </c>
      <c r="X274" s="56">
        <v>0</v>
      </c>
      <c r="Y274" s="55" t="s">
        <v>563</v>
      </c>
    </row>
    <row r="275" spans="1:25">
      <c r="A275" s="55" t="s">
        <v>819</v>
      </c>
      <c r="B275" s="56">
        <v>8</v>
      </c>
      <c r="C275" s="56">
        <v>0</v>
      </c>
      <c r="D275" s="56">
        <v>0</v>
      </c>
      <c r="E275" s="56">
        <v>14900000</v>
      </c>
      <c r="F275" s="56">
        <v>321634.1913</v>
      </c>
      <c r="G275" s="56">
        <v>0</v>
      </c>
      <c r="H275" s="56">
        <v>22350000</v>
      </c>
      <c r="I275" s="56">
        <v>0</v>
      </c>
      <c r="J275" s="56">
        <v>5958336.67</v>
      </c>
      <c r="K275" s="56">
        <v>10.5</v>
      </c>
      <c r="L275" s="56">
        <v>0</v>
      </c>
      <c r="M275" s="56">
        <v>1</v>
      </c>
      <c r="N275" s="56">
        <v>0</v>
      </c>
      <c r="O275" s="56">
        <v>1</v>
      </c>
      <c r="P275" s="56">
        <v>1</v>
      </c>
      <c r="Q275" s="56">
        <v>5958336.67</v>
      </c>
      <c r="R275" s="56">
        <v>22350000</v>
      </c>
      <c r="S275" s="56">
        <v>22</v>
      </c>
      <c r="T275" s="56">
        <v>5958336.67</v>
      </c>
      <c r="U275" s="56">
        <v>0</v>
      </c>
      <c r="V275" s="56">
        <v>0</v>
      </c>
      <c r="W275" s="56">
        <v>297916.83</v>
      </c>
      <c r="X275" s="56">
        <v>22350000</v>
      </c>
      <c r="Y275" s="55" t="s">
        <v>272</v>
      </c>
    </row>
    <row r="276" spans="1:25">
      <c r="A276" s="55" t="s">
        <v>820</v>
      </c>
      <c r="B276" s="56">
        <v>1</v>
      </c>
      <c r="C276" s="56">
        <v>0</v>
      </c>
      <c r="D276" s="56">
        <v>0</v>
      </c>
      <c r="E276" s="56">
        <v>37250000</v>
      </c>
      <c r="F276" s="56">
        <v>820602.4445</v>
      </c>
      <c r="G276" s="56">
        <v>0</v>
      </c>
      <c r="H276" s="56">
        <v>37250000</v>
      </c>
      <c r="I276" s="56">
        <v>0</v>
      </c>
      <c r="J276" s="56">
        <v>9797683.640000001</v>
      </c>
      <c r="K276" s="56">
        <v>19</v>
      </c>
      <c r="N276" s="56">
        <v>0</v>
      </c>
      <c r="O276" s="56">
        <v>2</v>
      </c>
      <c r="P276" s="56">
        <v>2</v>
      </c>
      <c r="Q276" s="56">
        <v>9797683.640000001</v>
      </c>
      <c r="R276" s="56">
        <v>37250000</v>
      </c>
      <c r="S276" s="56">
        <v>19</v>
      </c>
      <c r="T276" s="56">
        <v>9797683.640000001</v>
      </c>
      <c r="U276" s="56">
        <v>1</v>
      </c>
      <c r="V276" s="56">
        <v>0</v>
      </c>
      <c r="W276" s="56">
        <v>489884.18</v>
      </c>
      <c r="X276" s="56">
        <v>37250000</v>
      </c>
      <c r="Y276" s="55" t="s">
        <v>272</v>
      </c>
    </row>
    <row r="277" spans="1:25">
      <c r="A277" s="55" t="s">
        <v>821</v>
      </c>
      <c r="B277" s="56">
        <v>12</v>
      </c>
      <c r="C277" s="56">
        <v>0</v>
      </c>
      <c r="D277" s="56">
        <v>0</v>
      </c>
      <c r="E277" s="56">
        <v>44700000</v>
      </c>
      <c r="F277" s="56">
        <v>7268077.622</v>
      </c>
      <c r="G277" s="56">
        <v>0</v>
      </c>
      <c r="H277" s="56">
        <v>113836000</v>
      </c>
      <c r="I277" s="56">
        <v>1960831.453</v>
      </c>
      <c r="J277" s="56">
        <v>37011335.64</v>
      </c>
      <c r="K277" s="56">
        <v>30.5</v>
      </c>
      <c r="L277" s="56">
        <v>0</v>
      </c>
      <c r="M277" s="56">
        <v>1</v>
      </c>
      <c r="N277" s="56">
        <v>0</v>
      </c>
      <c r="O277" s="56">
        <v>1</v>
      </c>
      <c r="P277" s="56">
        <v>1</v>
      </c>
      <c r="Q277" s="56">
        <v>37011335.64</v>
      </c>
      <c r="R277" s="56">
        <v>750573114.1</v>
      </c>
      <c r="S277" s="56">
        <v>115</v>
      </c>
      <c r="T277" s="56">
        <v>283692807.14</v>
      </c>
      <c r="U277" s="56">
        <v>0</v>
      </c>
      <c r="V277" s="56">
        <v>0</v>
      </c>
      <c r="W277" s="56">
        <v>11079475.86</v>
      </c>
      <c r="X277" s="56">
        <v>113836000</v>
      </c>
      <c r="Y277" s="55" t="s">
        <v>272</v>
      </c>
    </row>
    <row r="278" spans="1:25">
      <c r="A278" s="55" t="s">
        <v>822</v>
      </c>
      <c r="B278" s="56">
        <v>1</v>
      </c>
      <c r="C278" s="56">
        <v>0</v>
      </c>
      <c r="D278" s="56">
        <v>0</v>
      </c>
      <c r="F278" s="56">
        <v>4785532.965</v>
      </c>
      <c r="G278" s="56">
        <v>0</v>
      </c>
      <c r="H278" s="56">
        <v>0</v>
      </c>
      <c r="I278" s="56">
        <v>0</v>
      </c>
      <c r="J278" s="56">
        <v>0</v>
      </c>
      <c r="K278" s="56">
        <v>1</v>
      </c>
      <c r="N278" s="56">
        <v>0</v>
      </c>
      <c r="O278" s="56">
        <v>1</v>
      </c>
      <c r="P278" s="56">
        <v>1</v>
      </c>
      <c r="Q278" s="56">
        <v>0</v>
      </c>
      <c r="R278" s="56">
        <v>647405000</v>
      </c>
      <c r="S278" s="56">
        <v>1</v>
      </c>
      <c r="T278" s="56">
        <v>447535000</v>
      </c>
      <c r="U278" s="56">
        <v>0</v>
      </c>
      <c r="V278" s="56">
        <v>0</v>
      </c>
      <c r="W278" s="56">
        <v>4785532.97</v>
      </c>
      <c r="X278" s="56">
        <v>0</v>
      </c>
      <c r="Y278" s="55" t="s">
        <v>272</v>
      </c>
    </row>
    <row r="279" spans="1:25">
      <c r="A279" s="55" t="s">
        <v>823</v>
      </c>
      <c r="B279" s="56">
        <v>8</v>
      </c>
      <c r="C279" s="56">
        <v>0</v>
      </c>
      <c r="D279" s="56">
        <v>0</v>
      </c>
      <c r="E279" s="56">
        <v>193700000</v>
      </c>
      <c r="F279" s="56">
        <v>2694388.334</v>
      </c>
      <c r="G279" s="56">
        <v>0</v>
      </c>
      <c r="H279" s="56">
        <v>385910000</v>
      </c>
      <c r="I279" s="56">
        <v>0</v>
      </c>
      <c r="J279" s="56">
        <v>56120794.5</v>
      </c>
      <c r="K279" s="56">
        <v>114</v>
      </c>
      <c r="L279" s="56">
        <v>0</v>
      </c>
      <c r="M279" s="56">
        <v>1</v>
      </c>
      <c r="N279" s="56">
        <v>0</v>
      </c>
      <c r="O279" s="56">
        <v>1</v>
      </c>
      <c r="P279" s="56">
        <v>1</v>
      </c>
      <c r="Q279" s="56">
        <v>56120794.5</v>
      </c>
      <c r="R279" s="56">
        <v>385910000</v>
      </c>
      <c r="S279" s="56">
        <v>203</v>
      </c>
      <c r="T279" s="56">
        <v>56120794.5</v>
      </c>
      <c r="U279" s="56">
        <v>0</v>
      </c>
      <c r="V279" s="56">
        <v>0</v>
      </c>
      <c r="W279" s="56">
        <v>2806039.73</v>
      </c>
      <c r="X279" s="56">
        <v>385910000</v>
      </c>
      <c r="Y279" s="55" t="s">
        <v>272</v>
      </c>
    </row>
    <row r="280" spans="1:25">
      <c r="A280" s="55" t="s">
        <v>824</v>
      </c>
      <c r="B280" s="56">
        <v>40</v>
      </c>
      <c r="C280" s="56">
        <v>0</v>
      </c>
      <c r="D280" s="56">
        <v>0</v>
      </c>
      <c r="F280" s="56">
        <v>3337600</v>
      </c>
      <c r="G280" s="56">
        <v>3975206.6</v>
      </c>
      <c r="H280" s="56">
        <v>0</v>
      </c>
      <c r="I280" s="56">
        <v>5317259.4806</v>
      </c>
      <c r="J280" s="56">
        <v>0</v>
      </c>
      <c r="K280" s="56">
        <v>1.5</v>
      </c>
      <c r="L280" s="56">
        <v>0</v>
      </c>
      <c r="M280" s="56">
        <v>1</v>
      </c>
      <c r="N280" s="56">
        <v>0</v>
      </c>
      <c r="O280" s="56">
        <v>1</v>
      </c>
      <c r="P280" s="56">
        <v>1</v>
      </c>
      <c r="Q280" s="56">
        <v>3975206.6</v>
      </c>
      <c r="R280" s="56">
        <v>12732646</v>
      </c>
      <c r="S280" s="56">
        <v>10</v>
      </c>
      <c r="T280" s="56">
        <v>3975206.6</v>
      </c>
      <c r="U280" s="56">
        <v>0</v>
      </c>
      <c r="V280" s="56">
        <v>0</v>
      </c>
      <c r="W280" s="56">
        <v>5317259.48</v>
      </c>
      <c r="X280" s="56">
        <v>3975206.6</v>
      </c>
      <c r="Y280" s="55" t="s">
        <v>272</v>
      </c>
    </row>
    <row r="281" spans="1:25">
      <c r="A281" s="55" t="s">
        <v>825</v>
      </c>
      <c r="B281" s="56">
        <v>50</v>
      </c>
      <c r="C281" s="56">
        <v>0</v>
      </c>
      <c r="D281" s="56">
        <v>0</v>
      </c>
      <c r="E281" s="56">
        <v>4474566.85</v>
      </c>
      <c r="F281" s="56">
        <v>694682.7</v>
      </c>
      <c r="G281" s="56">
        <v>899656.5</v>
      </c>
      <c r="H281" s="56">
        <v>4474566.85</v>
      </c>
      <c r="I281" s="56">
        <v>979226.9436</v>
      </c>
      <c r="J281" s="56">
        <v>4204291</v>
      </c>
      <c r="K281" s="56">
        <v>8.67</v>
      </c>
      <c r="L281" s="56">
        <v>69</v>
      </c>
      <c r="M281" s="56">
        <v>2</v>
      </c>
      <c r="N281" s="56">
        <v>69</v>
      </c>
      <c r="O281" s="56">
        <v>2</v>
      </c>
      <c r="P281" s="56">
        <v>2</v>
      </c>
      <c r="Q281" s="56">
        <v>5103947.5</v>
      </c>
      <c r="R281" s="56">
        <v>21194521.39</v>
      </c>
      <c r="S281" s="56">
        <v>66</v>
      </c>
      <c r="T281" s="56">
        <v>5103947.5</v>
      </c>
      <c r="U281" s="56">
        <v>3</v>
      </c>
      <c r="V281" s="56">
        <v>0</v>
      </c>
      <c r="W281" s="56">
        <v>1189441.49</v>
      </c>
      <c r="X281" s="56">
        <v>5374223.35</v>
      </c>
      <c r="Y281" s="55" t="s">
        <v>272</v>
      </c>
    </row>
    <row r="282" spans="1:25">
      <c r="A282" s="55" t="s">
        <v>826</v>
      </c>
      <c r="B282" s="56">
        <v>26</v>
      </c>
      <c r="C282" s="56">
        <v>0</v>
      </c>
      <c r="D282" s="56">
        <v>0</v>
      </c>
      <c r="F282" s="56">
        <v>5103533.948</v>
      </c>
      <c r="G282" s="56">
        <v>8645696.84</v>
      </c>
      <c r="H282" s="56">
        <v>0</v>
      </c>
      <c r="I282" s="56">
        <v>1133067.6073</v>
      </c>
      <c r="J282" s="56">
        <v>0</v>
      </c>
      <c r="K282" s="56">
        <v>11.33</v>
      </c>
      <c r="L282" s="56">
        <v>0</v>
      </c>
      <c r="M282" s="56">
        <v>1</v>
      </c>
      <c r="N282" s="56">
        <v>0</v>
      </c>
      <c r="O282" s="56">
        <v>1</v>
      </c>
      <c r="P282" s="56">
        <v>1</v>
      </c>
      <c r="Q282" s="56">
        <v>8645696.84</v>
      </c>
      <c r="R282" s="56">
        <v>673720152.24</v>
      </c>
      <c r="S282" s="56">
        <v>47</v>
      </c>
      <c r="T282" s="56">
        <v>453396272.7399999</v>
      </c>
      <c r="U282" s="56">
        <v>0</v>
      </c>
      <c r="V282" s="56">
        <v>0</v>
      </c>
      <c r="W282" s="56">
        <v>6236601.56</v>
      </c>
      <c r="X282" s="56">
        <v>8645696.84</v>
      </c>
      <c r="Y282" s="55" t="s">
        <v>272</v>
      </c>
    </row>
    <row r="283" spans="1:25">
      <c r="A283" s="55" t="s">
        <v>827</v>
      </c>
      <c r="B283" s="56">
        <v>7</v>
      </c>
      <c r="C283" s="56">
        <v>0</v>
      </c>
      <c r="D283" s="56">
        <v>0</v>
      </c>
      <c r="F283" s="56">
        <v>145275</v>
      </c>
      <c r="G283" s="56">
        <v>0</v>
      </c>
      <c r="H283" s="56">
        <v>0</v>
      </c>
      <c r="I283" s="56">
        <v>107676.217</v>
      </c>
      <c r="J283" s="56">
        <v>0</v>
      </c>
      <c r="K283" s="56">
        <v>4.5</v>
      </c>
      <c r="L283" s="56">
        <v>0</v>
      </c>
      <c r="M283" s="56">
        <v>2</v>
      </c>
      <c r="N283" s="56">
        <v>0</v>
      </c>
      <c r="O283" s="56">
        <v>2</v>
      </c>
      <c r="P283" s="56">
        <v>2</v>
      </c>
      <c r="Q283" s="56">
        <v>2841921.84</v>
      </c>
      <c r="R283" s="56">
        <v>13573304</v>
      </c>
      <c r="S283" s="56">
        <v>11</v>
      </c>
      <c r="T283" s="56">
        <v>2841921.84</v>
      </c>
      <c r="U283" s="56">
        <v>0</v>
      </c>
      <c r="V283" s="56">
        <v>0</v>
      </c>
      <c r="W283" s="56">
        <v>252951.22</v>
      </c>
      <c r="X283" s="56">
        <v>0</v>
      </c>
      <c r="Y283" s="55" t="s">
        <v>272</v>
      </c>
    </row>
    <row r="284" spans="1:25">
      <c r="A284" s="55" t="s">
        <v>828</v>
      </c>
      <c r="B284" s="56">
        <v>16</v>
      </c>
      <c r="C284" s="56">
        <v>0</v>
      </c>
      <c r="D284" s="56">
        <v>5</v>
      </c>
      <c r="F284" s="56">
        <v>1129430.687</v>
      </c>
      <c r="G284" s="56">
        <v>0</v>
      </c>
      <c r="H284" s="56">
        <v>0</v>
      </c>
      <c r="I284" s="56">
        <v>0</v>
      </c>
      <c r="J284" s="56">
        <v>0</v>
      </c>
      <c r="K284" s="56">
        <v>21</v>
      </c>
      <c r="L284" s="56">
        <v>309</v>
      </c>
      <c r="M284" s="56">
        <v>5</v>
      </c>
      <c r="N284" s="56">
        <v>263</v>
      </c>
      <c r="O284" s="56">
        <v>5</v>
      </c>
      <c r="P284" s="56">
        <v>5</v>
      </c>
      <c r="Q284" s="56">
        <v>813014.34</v>
      </c>
      <c r="R284" s="56">
        <v>21892936.54</v>
      </c>
      <c r="S284" s="56">
        <v>56</v>
      </c>
      <c r="T284" s="56">
        <v>6719327.72</v>
      </c>
      <c r="U284" s="56">
        <v>1</v>
      </c>
      <c r="V284" s="56">
        <v>0</v>
      </c>
      <c r="W284" s="56">
        <v>1129430.69</v>
      </c>
      <c r="X284" s="56">
        <v>0</v>
      </c>
      <c r="Y284" s="55" t="s">
        <v>546</v>
      </c>
    </row>
    <row r="285" spans="1:25">
      <c r="A285" s="55" t="s">
        <v>829</v>
      </c>
      <c r="B285" s="56">
        <v>18</v>
      </c>
      <c r="C285" s="56">
        <v>0</v>
      </c>
      <c r="D285" s="56">
        <v>3</v>
      </c>
      <c r="F285" s="56">
        <v>3533106.473</v>
      </c>
      <c r="G285" s="56">
        <v>1165056.1</v>
      </c>
      <c r="H285" s="56">
        <v>0</v>
      </c>
      <c r="I285" s="56">
        <v>406967.86684</v>
      </c>
      <c r="J285" s="56">
        <v>0</v>
      </c>
      <c r="K285" s="56">
        <v>37.8</v>
      </c>
      <c r="L285" s="56">
        <v>0</v>
      </c>
      <c r="M285" s="56">
        <v>1</v>
      </c>
      <c r="N285" s="56">
        <v>275</v>
      </c>
      <c r="O285" s="56">
        <v>5</v>
      </c>
      <c r="P285" s="56">
        <v>5</v>
      </c>
      <c r="Q285" s="56">
        <v>62113619.99</v>
      </c>
      <c r="R285" s="56">
        <v>261608168.48</v>
      </c>
      <c r="S285" s="56">
        <v>181</v>
      </c>
      <c r="T285" s="56">
        <v>179158371.75</v>
      </c>
      <c r="U285" s="56">
        <v>1</v>
      </c>
      <c r="V285" s="56">
        <v>0</v>
      </c>
      <c r="W285" s="56">
        <v>7403731.78</v>
      </c>
      <c r="X285" s="56">
        <v>1165056.1</v>
      </c>
      <c r="Y285" s="55" t="s">
        <v>546</v>
      </c>
    </row>
    <row r="286" spans="1:25">
      <c r="A286" s="55" t="s">
        <v>830</v>
      </c>
      <c r="B286" s="56">
        <v>11</v>
      </c>
      <c r="C286" s="56">
        <v>0</v>
      </c>
      <c r="D286" s="56">
        <v>0</v>
      </c>
      <c r="E286" s="56">
        <v>242870000</v>
      </c>
      <c r="F286" s="56">
        <v>4765165.509</v>
      </c>
      <c r="G286" s="56">
        <v>0</v>
      </c>
      <c r="H286" s="56">
        <v>533420000</v>
      </c>
      <c r="I286" s="56">
        <v>0</v>
      </c>
      <c r="J286" s="56">
        <v>5528544</v>
      </c>
      <c r="K286" s="56">
        <v>164</v>
      </c>
      <c r="L286" s="56">
        <v>0</v>
      </c>
      <c r="N286" s="56">
        <v>0</v>
      </c>
      <c r="O286" s="56">
        <v>1</v>
      </c>
      <c r="P286" s="56">
        <v>1</v>
      </c>
      <c r="Q286" s="56">
        <v>5528544</v>
      </c>
      <c r="R286" s="56">
        <v>969990000</v>
      </c>
      <c r="S286" s="56">
        <v>330</v>
      </c>
      <c r="T286" s="56">
        <v>5528544</v>
      </c>
      <c r="U286" s="56">
        <v>0</v>
      </c>
      <c r="V286" s="56">
        <v>0</v>
      </c>
      <c r="W286" s="56">
        <v>276427.2</v>
      </c>
      <c r="X286" s="56">
        <v>533420000</v>
      </c>
      <c r="Y286" s="55" t="s">
        <v>272</v>
      </c>
    </row>
    <row r="287" spans="1:25">
      <c r="A287" s="55" t="s">
        <v>831</v>
      </c>
      <c r="B287" s="56">
        <v>4</v>
      </c>
      <c r="C287" s="56">
        <v>0</v>
      </c>
      <c r="D287" s="56">
        <v>0</v>
      </c>
      <c r="E287" s="56">
        <v>89400000</v>
      </c>
      <c r="F287" s="56">
        <v>2193518.082</v>
      </c>
      <c r="G287" s="56">
        <v>0</v>
      </c>
      <c r="H287" s="56">
        <v>153470000</v>
      </c>
      <c r="I287" s="56">
        <v>0</v>
      </c>
      <c r="J287" s="56">
        <v>35154927.6</v>
      </c>
      <c r="K287" s="56">
        <v>77.67</v>
      </c>
      <c r="M287" s="56">
        <v>2</v>
      </c>
      <c r="N287" s="56">
        <v>0</v>
      </c>
      <c r="O287" s="56">
        <v>1</v>
      </c>
      <c r="P287" s="56">
        <v>1</v>
      </c>
      <c r="Q287" s="56">
        <v>35154927.6</v>
      </c>
      <c r="R287" s="56">
        <v>189230000</v>
      </c>
      <c r="S287" s="56">
        <v>192</v>
      </c>
      <c r="T287" s="56">
        <v>35154927.6</v>
      </c>
      <c r="U287" s="56">
        <v>0</v>
      </c>
      <c r="V287" s="56">
        <v>0</v>
      </c>
      <c r="W287" s="56">
        <v>1757746.38</v>
      </c>
      <c r="X287" s="56">
        <v>153470000</v>
      </c>
      <c r="Y287" s="55" t="s">
        <v>272</v>
      </c>
    </row>
    <row r="288" spans="1:25">
      <c r="A288" s="55" t="s">
        <v>832</v>
      </c>
      <c r="B288" s="56">
        <v>9</v>
      </c>
      <c r="C288" s="56">
        <v>0</v>
      </c>
      <c r="D288" s="56">
        <v>0</v>
      </c>
      <c r="F288" s="56">
        <v>6567237.592</v>
      </c>
      <c r="G288" s="56">
        <v>0</v>
      </c>
      <c r="H288" s="56">
        <v>0</v>
      </c>
      <c r="I288" s="56">
        <v>0</v>
      </c>
      <c r="J288" s="56">
        <v>0</v>
      </c>
      <c r="K288" s="56">
        <v>10</v>
      </c>
      <c r="L288" s="56">
        <v>0</v>
      </c>
      <c r="M288" s="56">
        <v>1</v>
      </c>
      <c r="N288" s="56">
        <v>0</v>
      </c>
      <c r="O288" s="56">
        <v>1</v>
      </c>
      <c r="P288" s="56">
        <v>1</v>
      </c>
      <c r="Q288" s="56">
        <v>0</v>
      </c>
      <c r="R288" s="56">
        <v>2107214888</v>
      </c>
      <c r="S288" s="56">
        <v>18</v>
      </c>
      <c r="T288" s="56">
        <v>732776518.3</v>
      </c>
      <c r="U288" s="56">
        <v>0</v>
      </c>
      <c r="V288" s="56">
        <v>0</v>
      </c>
      <c r="W288" s="56">
        <v>6567237.59</v>
      </c>
      <c r="X288" s="56">
        <v>0</v>
      </c>
      <c r="Y288" s="55" t="s">
        <v>272</v>
      </c>
    </row>
    <row r="289" spans="1:25">
      <c r="A289" s="55" t="s">
        <v>833</v>
      </c>
      <c r="B289" s="56">
        <v>21</v>
      </c>
      <c r="C289" s="56">
        <v>0</v>
      </c>
      <c r="D289" s="56">
        <v>0</v>
      </c>
      <c r="E289" s="56">
        <v>34270000</v>
      </c>
      <c r="F289" s="56">
        <v>660408.5115</v>
      </c>
      <c r="G289" s="56">
        <v>0</v>
      </c>
      <c r="H289" s="56">
        <v>34270000</v>
      </c>
      <c r="I289" s="56">
        <v>0</v>
      </c>
      <c r="J289" s="56">
        <v>0</v>
      </c>
      <c r="K289" s="56">
        <v>81</v>
      </c>
      <c r="M289" s="56">
        <v>1</v>
      </c>
      <c r="N289" s="56">
        <v>0</v>
      </c>
      <c r="O289" s="56">
        <v>1</v>
      </c>
      <c r="P289" s="56">
        <v>1</v>
      </c>
      <c r="Q289" s="56">
        <v>0</v>
      </c>
      <c r="R289" s="56">
        <v>38833633.09</v>
      </c>
      <c r="S289" s="56">
        <v>81</v>
      </c>
      <c r="T289" s="56">
        <v>0</v>
      </c>
      <c r="U289" s="56">
        <v>0</v>
      </c>
      <c r="V289" s="56">
        <v>0</v>
      </c>
      <c r="W289" s="56">
        <v>0</v>
      </c>
      <c r="X289" s="56">
        <v>34270000</v>
      </c>
      <c r="Y289" s="55" t="s">
        <v>272</v>
      </c>
    </row>
    <row r="290" spans="1:25">
      <c r="A290" s="55" t="s">
        <v>834</v>
      </c>
      <c r="B290" s="56">
        <v>1</v>
      </c>
      <c r="C290" s="56">
        <v>0</v>
      </c>
      <c r="D290" s="56">
        <v>0</v>
      </c>
      <c r="F290" s="56">
        <v>7235141.001</v>
      </c>
      <c r="G290" s="56">
        <v>0</v>
      </c>
      <c r="H290" s="56">
        <v>0</v>
      </c>
      <c r="I290" s="56">
        <v>0</v>
      </c>
      <c r="J290" s="56">
        <v>0</v>
      </c>
      <c r="K290" s="56">
        <v>75</v>
      </c>
      <c r="N290" s="56">
        <v>0</v>
      </c>
      <c r="O290" s="56">
        <v>1</v>
      </c>
      <c r="P290" s="56">
        <v>1</v>
      </c>
      <c r="Q290" s="56">
        <v>0</v>
      </c>
      <c r="R290" s="56">
        <v>596000000</v>
      </c>
      <c r="S290" s="56">
        <v>75</v>
      </c>
      <c r="T290" s="56">
        <v>421885292.6</v>
      </c>
      <c r="U290" s="56">
        <v>0</v>
      </c>
      <c r="V290" s="56">
        <v>0</v>
      </c>
      <c r="W290" s="56">
        <v>7235141</v>
      </c>
      <c r="X290" s="56">
        <v>0</v>
      </c>
      <c r="Y290" s="55" t="s">
        <v>272</v>
      </c>
    </row>
    <row r="291" spans="1:25">
      <c r="A291" s="55" t="s">
        <v>835</v>
      </c>
      <c r="B291" s="56">
        <v>1</v>
      </c>
      <c r="C291" s="56">
        <v>0</v>
      </c>
      <c r="D291" s="56">
        <v>0</v>
      </c>
      <c r="E291" s="56">
        <v>29800000</v>
      </c>
      <c r="F291" s="56">
        <v>373021.454</v>
      </c>
      <c r="G291" s="56">
        <v>0</v>
      </c>
      <c r="H291" s="56">
        <v>29800000</v>
      </c>
      <c r="I291" s="56">
        <v>0</v>
      </c>
      <c r="J291" s="56">
        <v>76784.17999999999</v>
      </c>
      <c r="K291" s="56">
        <v>69</v>
      </c>
      <c r="N291" s="56">
        <v>9</v>
      </c>
      <c r="O291" s="56">
        <v>2</v>
      </c>
      <c r="P291" s="56">
        <v>2</v>
      </c>
      <c r="Q291" s="56">
        <v>76784.17999999999</v>
      </c>
      <c r="R291" s="56">
        <v>29800000</v>
      </c>
      <c r="S291" s="56">
        <v>69</v>
      </c>
      <c r="T291" s="56">
        <v>76784.17999999999</v>
      </c>
      <c r="U291" s="56">
        <v>0</v>
      </c>
      <c r="V291" s="56">
        <v>0</v>
      </c>
      <c r="W291" s="56">
        <v>3839.21</v>
      </c>
      <c r="X291" s="56">
        <v>29800000</v>
      </c>
      <c r="Y291" s="55" t="s">
        <v>272</v>
      </c>
    </row>
    <row r="292" spans="1:25">
      <c r="A292" s="55" t="s">
        <v>836</v>
      </c>
      <c r="B292" s="56">
        <v>10</v>
      </c>
      <c r="C292" s="56">
        <v>0</v>
      </c>
      <c r="D292" s="56">
        <v>0</v>
      </c>
      <c r="E292" s="56">
        <v>372500000</v>
      </c>
      <c r="F292" s="56">
        <v>82119397.89</v>
      </c>
      <c r="G292" s="56">
        <v>0</v>
      </c>
      <c r="H292" s="56">
        <v>759155000</v>
      </c>
      <c r="I292" s="56">
        <v>0</v>
      </c>
      <c r="J292" s="56">
        <v>284999865.59</v>
      </c>
      <c r="K292" s="56">
        <v>82.40000000000001</v>
      </c>
      <c r="M292" s="56">
        <v>1</v>
      </c>
      <c r="N292" s="56">
        <v>0</v>
      </c>
      <c r="O292" s="56">
        <v>1</v>
      </c>
      <c r="P292" s="56">
        <v>1</v>
      </c>
      <c r="Q292" s="56">
        <v>284999865.59</v>
      </c>
      <c r="R292" s="56">
        <v>4562023721.59</v>
      </c>
      <c r="S292" s="56">
        <v>246</v>
      </c>
      <c r="T292" s="56">
        <v>3611083720.59</v>
      </c>
      <c r="U292" s="56">
        <v>0</v>
      </c>
      <c r="V292" s="56">
        <v>0</v>
      </c>
      <c r="W292" s="56">
        <v>96369391.17</v>
      </c>
      <c r="X292" s="56">
        <v>759155000</v>
      </c>
      <c r="Y292" s="55" t="s">
        <v>272</v>
      </c>
    </row>
    <row r="293" spans="1:25">
      <c r="A293" s="55" t="s">
        <v>837</v>
      </c>
      <c r="B293" s="56">
        <v>5</v>
      </c>
      <c r="C293" s="56">
        <v>0</v>
      </c>
      <c r="D293" s="56">
        <v>0</v>
      </c>
      <c r="G293" s="56">
        <v>0</v>
      </c>
      <c r="H293" s="56">
        <v>0</v>
      </c>
      <c r="I293" s="56">
        <v>0</v>
      </c>
      <c r="J293" s="56">
        <v>0</v>
      </c>
      <c r="M293" s="56">
        <v>1</v>
      </c>
      <c r="Q293" s="56">
        <v>0</v>
      </c>
      <c r="R293" s="56">
        <v>254328.1</v>
      </c>
      <c r="S293" s="56">
        <v>17</v>
      </c>
      <c r="T293" s="56">
        <v>0</v>
      </c>
      <c r="U293" s="56">
        <v>0</v>
      </c>
      <c r="V293" s="56">
        <v>0</v>
      </c>
      <c r="W293" s="56">
        <v>0</v>
      </c>
      <c r="X293" s="56">
        <v>0</v>
      </c>
      <c r="Y293" s="55" t="s">
        <v>272</v>
      </c>
    </row>
    <row r="294" spans="1:25">
      <c r="A294" s="55" t="s">
        <v>838</v>
      </c>
      <c r="B294" s="56">
        <v>53</v>
      </c>
      <c r="C294" s="56">
        <v>0</v>
      </c>
      <c r="D294" s="56">
        <v>0</v>
      </c>
      <c r="F294" s="56">
        <v>174549.652</v>
      </c>
      <c r="G294" s="56">
        <v>418344.89</v>
      </c>
      <c r="H294" s="56">
        <v>0</v>
      </c>
      <c r="I294" s="56">
        <v>333133.0355513</v>
      </c>
      <c r="J294" s="56">
        <v>0</v>
      </c>
      <c r="K294" s="56">
        <v>2.75</v>
      </c>
      <c r="L294" s="56">
        <v>0</v>
      </c>
      <c r="M294" s="56">
        <v>1</v>
      </c>
      <c r="N294" s="56">
        <v>0</v>
      </c>
      <c r="O294" s="56">
        <v>1</v>
      </c>
      <c r="P294" s="56">
        <v>1</v>
      </c>
      <c r="Q294" s="56">
        <v>418344.89</v>
      </c>
      <c r="R294" s="56">
        <v>32282967.29</v>
      </c>
      <c r="S294" s="56">
        <v>75</v>
      </c>
      <c r="T294" s="56">
        <v>418344.89</v>
      </c>
      <c r="U294" s="56">
        <v>0</v>
      </c>
      <c r="V294" s="56">
        <v>0</v>
      </c>
      <c r="W294" s="56">
        <v>333133.04</v>
      </c>
      <c r="X294" s="56">
        <v>418344.89</v>
      </c>
      <c r="Y294" s="55" t="s">
        <v>272</v>
      </c>
    </row>
    <row r="295" spans="1:25">
      <c r="A295" s="55" t="s">
        <v>839</v>
      </c>
      <c r="B295" s="56">
        <v>38</v>
      </c>
      <c r="C295" s="56">
        <v>0</v>
      </c>
      <c r="D295" s="56">
        <v>0</v>
      </c>
      <c r="F295" s="56">
        <v>354873.7967</v>
      </c>
      <c r="G295" s="56">
        <v>4722038.34</v>
      </c>
      <c r="H295" s="56">
        <v>0</v>
      </c>
      <c r="I295" s="56">
        <v>783871.45918</v>
      </c>
      <c r="J295" s="56">
        <v>0</v>
      </c>
      <c r="K295" s="56">
        <v>3</v>
      </c>
      <c r="L295" s="56">
        <v>0</v>
      </c>
      <c r="M295" s="56">
        <v>2</v>
      </c>
      <c r="N295" s="56">
        <v>0</v>
      </c>
      <c r="O295" s="56">
        <v>1</v>
      </c>
      <c r="P295" s="56">
        <v>1</v>
      </c>
      <c r="Q295" s="56">
        <v>4722038.34</v>
      </c>
      <c r="R295" s="56">
        <v>16538827.16</v>
      </c>
      <c r="S295" s="56">
        <v>35</v>
      </c>
      <c r="T295" s="56">
        <v>4722038.34</v>
      </c>
      <c r="U295" s="56">
        <v>0</v>
      </c>
      <c r="V295" s="56">
        <v>0</v>
      </c>
      <c r="W295" s="56">
        <v>783871.46</v>
      </c>
      <c r="X295" s="56">
        <v>4722038.34</v>
      </c>
      <c r="Y295" s="55" t="s">
        <v>272</v>
      </c>
    </row>
    <row r="296" spans="1:25">
      <c r="A296" s="55" t="s">
        <v>840</v>
      </c>
      <c r="B296" s="56">
        <v>42</v>
      </c>
      <c r="C296" s="56">
        <v>0</v>
      </c>
      <c r="D296" s="56">
        <v>0</v>
      </c>
      <c r="F296" s="56">
        <v>616170.1157</v>
      </c>
      <c r="G296" s="56">
        <v>4111181.65</v>
      </c>
      <c r="H296" s="56">
        <v>0</v>
      </c>
      <c r="I296" s="56">
        <v>1139324.3237</v>
      </c>
      <c r="J296" s="56">
        <v>0</v>
      </c>
      <c r="K296" s="56">
        <v>1</v>
      </c>
      <c r="L296" s="56">
        <v>0</v>
      </c>
      <c r="M296" s="56">
        <v>2</v>
      </c>
      <c r="N296" s="56">
        <v>0</v>
      </c>
      <c r="O296" s="56">
        <v>1</v>
      </c>
      <c r="P296" s="56">
        <v>1</v>
      </c>
      <c r="Q296" s="56">
        <v>4111181.65</v>
      </c>
      <c r="R296" s="56">
        <v>23698567.71</v>
      </c>
      <c r="S296" s="56">
        <v>54</v>
      </c>
      <c r="T296" s="56">
        <v>4111181.65</v>
      </c>
      <c r="U296" s="56">
        <v>0</v>
      </c>
      <c r="V296" s="56">
        <v>0</v>
      </c>
      <c r="W296" s="56">
        <v>1139324.32</v>
      </c>
      <c r="X296" s="56">
        <v>4111181.65</v>
      </c>
      <c r="Y296" s="55" t="s">
        <v>272</v>
      </c>
    </row>
    <row r="297" spans="1:25">
      <c r="A297" s="55" t="s">
        <v>841</v>
      </c>
      <c r="B297" s="56">
        <v>2</v>
      </c>
      <c r="C297" s="56">
        <v>0</v>
      </c>
      <c r="D297" s="56">
        <v>0</v>
      </c>
      <c r="E297" s="56">
        <v>74500000</v>
      </c>
      <c r="F297" s="56">
        <v>1641204.889</v>
      </c>
      <c r="G297" s="56">
        <v>0</v>
      </c>
      <c r="H297" s="56">
        <v>74500000</v>
      </c>
      <c r="I297" s="56">
        <v>0</v>
      </c>
      <c r="J297" s="56">
        <v>0</v>
      </c>
      <c r="K297" s="56">
        <v>79</v>
      </c>
      <c r="N297" s="56">
        <v>0</v>
      </c>
      <c r="O297" s="56">
        <v>1</v>
      </c>
      <c r="P297" s="56">
        <v>1</v>
      </c>
      <c r="Q297" s="56">
        <v>0</v>
      </c>
      <c r="R297" s="56">
        <v>149000000</v>
      </c>
      <c r="S297" s="56">
        <v>159</v>
      </c>
      <c r="T297" s="56">
        <v>0</v>
      </c>
      <c r="U297" s="56">
        <v>0</v>
      </c>
      <c r="V297" s="56">
        <v>0</v>
      </c>
      <c r="W297" s="56">
        <v>0</v>
      </c>
      <c r="X297" s="56">
        <v>74500000</v>
      </c>
      <c r="Y297" s="55" t="s">
        <v>272</v>
      </c>
    </row>
    <row r="298" spans="1:25">
      <c r="A298" s="55" t="s">
        <v>842</v>
      </c>
      <c r="B298" s="56">
        <v>111</v>
      </c>
      <c r="C298" s="56">
        <v>0</v>
      </c>
      <c r="D298" s="56">
        <v>0</v>
      </c>
      <c r="E298" s="56">
        <v>42614000</v>
      </c>
      <c r="F298" s="56">
        <v>1165198.604</v>
      </c>
      <c r="G298" s="56">
        <v>7701482.32</v>
      </c>
      <c r="H298" s="56">
        <v>42614000</v>
      </c>
      <c r="I298" s="56">
        <v>2828338.6962</v>
      </c>
      <c r="J298" s="56">
        <v>28620880.1</v>
      </c>
      <c r="K298" s="56">
        <v>11.56</v>
      </c>
      <c r="L298" s="56">
        <v>0</v>
      </c>
      <c r="M298" s="56">
        <v>1</v>
      </c>
      <c r="N298" s="56">
        <v>0</v>
      </c>
      <c r="O298" s="56">
        <v>2</v>
      </c>
      <c r="P298" s="56">
        <v>2</v>
      </c>
      <c r="Q298" s="56">
        <v>39827014.34</v>
      </c>
      <c r="R298" s="56">
        <v>63766887.80999999</v>
      </c>
      <c r="S298" s="56">
        <v>41</v>
      </c>
      <c r="T298" s="56">
        <v>39827014.34</v>
      </c>
      <c r="U298" s="56">
        <v>2</v>
      </c>
      <c r="V298" s="56">
        <v>0</v>
      </c>
      <c r="W298" s="56">
        <v>4487357.9</v>
      </c>
      <c r="X298" s="56">
        <v>50315482.32</v>
      </c>
      <c r="Y298" s="55" t="s">
        <v>272</v>
      </c>
    </row>
    <row r="299" spans="1:25">
      <c r="A299" s="55" t="s">
        <v>843</v>
      </c>
      <c r="B299" s="56">
        <v>3</v>
      </c>
      <c r="C299" s="56">
        <v>0</v>
      </c>
      <c r="D299" s="56">
        <v>0</v>
      </c>
      <c r="F299" s="56">
        <v>12181191.24</v>
      </c>
      <c r="G299" s="56">
        <v>0</v>
      </c>
      <c r="H299" s="56">
        <v>0</v>
      </c>
      <c r="I299" s="56">
        <v>0</v>
      </c>
      <c r="J299" s="56">
        <v>0</v>
      </c>
      <c r="K299" s="56">
        <v>54</v>
      </c>
      <c r="N299" s="56">
        <v>0</v>
      </c>
      <c r="O299" s="56">
        <v>1</v>
      </c>
      <c r="P299" s="56">
        <v>1</v>
      </c>
      <c r="Q299" s="56">
        <v>0</v>
      </c>
      <c r="R299" s="56">
        <v>1156556367</v>
      </c>
      <c r="S299" s="56">
        <v>74</v>
      </c>
      <c r="T299" s="56">
        <v>924576025.1</v>
      </c>
      <c r="U299" s="56">
        <v>0</v>
      </c>
      <c r="V299" s="56">
        <v>0</v>
      </c>
      <c r="W299" s="56">
        <v>12181191.24</v>
      </c>
      <c r="X299" s="56">
        <v>0</v>
      </c>
      <c r="Y299" s="55" t="s">
        <v>272</v>
      </c>
    </row>
    <row r="300" spans="1:25">
      <c r="A300" s="55" t="s">
        <v>844</v>
      </c>
      <c r="B300" s="56">
        <v>227</v>
      </c>
      <c r="C300" s="56">
        <v>0</v>
      </c>
      <c r="D300" s="56">
        <v>0</v>
      </c>
      <c r="E300" s="56">
        <v>4470000</v>
      </c>
      <c r="F300" s="56">
        <v>1105744.412</v>
      </c>
      <c r="G300" s="56">
        <v>28920199.47</v>
      </c>
      <c r="H300" s="56">
        <v>8940000</v>
      </c>
      <c r="I300" s="56">
        <v>5418286.495561001</v>
      </c>
      <c r="J300" s="56">
        <v>0</v>
      </c>
      <c r="K300" s="56">
        <v>6.95</v>
      </c>
      <c r="L300" s="56">
        <v>0</v>
      </c>
      <c r="M300" s="56">
        <v>1</v>
      </c>
      <c r="N300" s="56">
        <v>0</v>
      </c>
      <c r="O300" s="56">
        <v>1</v>
      </c>
      <c r="P300" s="56">
        <v>1</v>
      </c>
      <c r="Q300" s="56">
        <v>58321928.14</v>
      </c>
      <c r="R300" s="56">
        <v>84314001.21999998</v>
      </c>
      <c r="S300" s="56">
        <v>44</v>
      </c>
      <c r="T300" s="56">
        <v>58321928.14</v>
      </c>
      <c r="U300" s="56">
        <v>0</v>
      </c>
      <c r="V300" s="56">
        <v>0</v>
      </c>
      <c r="W300" s="56">
        <v>6890148.4</v>
      </c>
      <c r="X300" s="56">
        <v>37860199.47</v>
      </c>
      <c r="Y300" s="55" t="s">
        <v>272</v>
      </c>
    </row>
    <row r="301" spans="1:25">
      <c r="A301" s="55" t="s">
        <v>845</v>
      </c>
      <c r="B301" s="56">
        <v>1</v>
      </c>
      <c r="C301" s="56">
        <v>0</v>
      </c>
      <c r="D301" s="56">
        <v>0</v>
      </c>
      <c r="E301" s="56">
        <v>73010000</v>
      </c>
      <c r="F301" s="56">
        <v>1939066.927</v>
      </c>
      <c r="G301" s="56">
        <v>0</v>
      </c>
      <c r="H301" s="56">
        <v>73010000</v>
      </c>
      <c r="I301" s="56">
        <v>0</v>
      </c>
      <c r="J301" s="56">
        <v>2214000</v>
      </c>
      <c r="K301" s="56">
        <v>179</v>
      </c>
      <c r="N301" s="56">
        <v>0</v>
      </c>
      <c r="O301" s="56">
        <v>1</v>
      </c>
      <c r="P301" s="56">
        <v>1</v>
      </c>
      <c r="Q301" s="56">
        <v>2214000</v>
      </c>
      <c r="R301" s="56">
        <v>73010000</v>
      </c>
      <c r="S301" s="56">
        <v>179</v>
      </c>
      <c r="T301" s="56">
        <v>2214000</v>
      </c>
      <c r="U301" s="56">
        <v>0</v>
      </c>
      <c r="V301" s="56">
        <v>0</v>
      </c>
      <c r="W301" s="56">
        <v>110700</v>
      </c>
      <c r="X301" s="56">
        <v>73010000</v>
      </c>
      <c r="Y301" s="55" t="s">
        <v>272</v>
      </c>
    </row>
    <row r="302" spans="1:25">
      <c r="A302" s="55" t="s">
        <v>846</v>
      </c>
      <c r="B302" s="56">
        <v>16</v>
      </c>
      <c r="C302" s="56">
        <v>0</v>
      </c>
      <c r="D302" s="56">
        <v>0</v>
      </c>
      <c r="E302" s="56">
        <v>89400000</v>
      </c>
      <c r="F302" s="56">
        <v>26048320.59</v>
      </c>
      <c r="G302" s="56">
        <v>0</v>
      </c>
      <c r="H302" s="56">
        <v>131120000</v>
      </c>
      <c r="I302" s="56">
        <v>0</v>
      </c>
      <c r="J302" s="56">
        <v>69667073.31999999</v>
      </c>
      <c r="K302" s="56">
        <v>32.75</v>
      </c>
      <c r="L302" s="56">
        <v>0</v>
      </c>
      <c r="M302" s="56">
        <v>1</v>
      </c>
      <c r="N302" s="56">
        <v>0</v>
      </c>
      <c r="O302" s="56">
        <v>1</v>
      </c>
      <c r="P302" s="56">
        <v>1</v>
      </c>
      <c r="Q302" s="56">
        <v>69667073.31999999</v>
      </c>
      <c r="R302" s="56">
        <v>4068017579.8</v>
      </c>
      <c r="S302" s="56">
        <v>94</v>
      </c>
      <c r="T302" s="56">
        <v>3437336662.32</v>
      </c>
      <c r="U302" s="56">
        <v>0</v>
      </c>
      <c r="V302" s="56">
        <v>0</v>
      </c>
      <c r="W302" s="56">
        <v>42949068</v>
      </c>
      <c r="X302" s="56">
        <v>131120000</v>
      </c>
      <c r="Y302" s="55" t="s">
        <v>272</v>
      </c>
    </row>
    <row r="303" spans="1:25">
      <c r="A303" s="55" t="s">
        <v>847</v>
      </c>
      <c r="B303" s="56">
        <v>55</v>
      </c>
      <c r="C303" s="56">
        <v>0</v>
      </c>
      <c r="D303" s="56">
        <v>1</v>
      </c>
      <c r="F303" s="56">
        <v>360992.1698</v>
      </c>
      <c r="G303" s="56">
        <v>564585</v>
      </c>
      <c r="H303" s="56">
        <v>0</v>
      </c>
      <c r="I303" s="56">
        <v>360992.1698</v>
      </c>
      <c r="J303" s="56">
        <v>0</v>
      </c>
      <c r="K303" s="56">
        <v>5</v>
      </c>
      <c r="L303" s="56">
        <v>1179</v>
      </c>
      <c r="M303" s="56">
        <v>5</v>
      </c>
      <c r="N303" s="56">
        <v>1179</v>
      </c>
      <c r="O303" s="56">
        <v>5</v>
      </c>
      <c r="P303" s="56">
        <v>5</v>
      </c>
      <c r="Q303" s="56">
        <v>564585</v>
      </c>
      <c r="R303" s="56">
        <v>354757033.81</v>
      </c>
      <c r="S303" s="56">
        <v>90</v>
      </c>
      <c r="T303" s="56">
        <v>119472556.4</v>
      </c>
      <c r="U303" s="56">
        <v>0</v>
      </c>
      <c r="V303" s="56">
        <v>0</v>
      </c>
      <c r="W303" s="56">
        <v>360992.17</v>
      </c>
      <c r="X303" s="56">
        <v>564585</v>
      </c>
      <c r="Y303" s="55" t="s">
        <v>546</v>
      </c>
    </row>
    <row r="304" spans="1:25">
      <c r="A304" s="55" t="s">
        <v>848</v>
      </c>
      <c r="B304" s="56">
        <v>7</v>
      </c>
      <c r="C304" s="56">
        <v>0</v>
      </c>
      <c r="D304" s="56">
        <v>0</v>
      </c>
      <c r="E304" s="56">
        <v>27267000</v>
      </c>
      <c r="F304" s="56">
        <v>1187597.909</v>
      </c>
      <c r="G304" s="56">
        <v>0</v>
      </c>
      <c r="H304" s="56">
        <v>45147000</v>
      </c>
      <c r="I304" s="56">
        <v>1187597.909</v>
      </c>
      <c r="J304" s="56">
        <v>0</v>
      </c>
      <c r="K304" s="56">
        <v>10.67</v>
      </c>
      <c r="L304" s="56">
        <v>0</v>
      </c>
      <c r="M304" s="56">
        <v>1</v>
      </c>
      <c r="N304" s="56">
        <v>0</v>
      </c>
      <c r="O304" s="56">
        <v>1</v>
      </c>
      <c r="P304" s="56">
        <v>1</v>
      </c>
      <c r="Q304" s="56">
        <v>0</v>
      </c>
      <c r="R304" s="56">
        <v>72414000</v>
      </c>
      <c r="S304" s="56">
        <v>15</v>
      </c>
      <c r="T304" s="56">
        <v>0</v>
      </c>
      <c r="U304" s="56">
        <v>0</v>
      </c>
      <c r="V304" s="56">
        <v>0</v>
      </c>
      <c r="W304" s="56">
        <v>1187597.91</v>
      </c>
      <c r="X304" s="56">
        <v>45147000</v>
      </c>
      <c r="Y304" s="55" t="s">
        <v>272</v>
      </c>
    </row>
    <row r="305" spans="1:25">
      <c r="A305" s="55" t="s">
        <v>849</v>
      </c>
      <c r="B305" s="56">
        <v>2</v>
      </c>
      <c r="C305" s="56">
        <v>0</v>
      </c>
      <c r="D305" s="56">
        <v>0</v>
      </c>
      <c r="E305" s="56">
        <v>74500000</v>
      </c>
      <c r="F305" s="56">
        <v>2015475.306</v>
      </c>
      <c r="G305" s="56">
        <v>0</v>
      </c>
      <c r="H305" s="56">
        <v>81950000</v>
      </c>
      <c r="I305" s="56">
        <v>0</v>
      </c>
      <c r="J305" s="56">
        <v>1619790.06</v>
      </c>
      <c r="K305" s="56">
        <v>58.5</v>
      </c>
      <c r="L305" s="56">
        <v>0</v>
      </c>
      <c r="N305" s="56">
        <v>0</v>
      </c>
      <c r="O305" s="56">
        <v>1</v>
      </c>
      <c r="P305" s="56">
        <v>1</v>
      </c>
      <c r="Q305" s="56">
        <v>1619790.06</v>
      </c>
      <c r="R305" s="56">
        <v>81950000</v>
      </c>
      <c r="S305" s="56">
        <v>107</v>
      </c>
      <c r="T305" s="56">
        <v>1619790.06</v>
      </c>
      <c r="U305" s="56">
        <v>0</v>
      </c>
      <c r="V305" s="56">
        <v>0</v>
      </c>
      <c r="W305" s="56">
        <v>80989.5</v>
      </c>
      <c r="X305" s="56">
        <v>81950000</v>
      </c>
      <c r="Y305" s="55" t="s">
        <v>272</v>
      </c>
    </row>
    <row r="306" spans="1:25">
      <c r="A306" s="55" t="s">
        <v>850</v>
      </c>
      <c r="B306" s="56">
        <v>12</v>
      </c>
      <c r="C306" s="56">
        <v>0</v>
      </c>
      <c r="D306" s="56">
        <v>0</v>
      </c>
      <c r="F306" s="56">
        <v>1719254.961</v>
      </c>
      <c r="G306" s="56">
        <v>3360427.86</v>
      </c>
      <c r="H306" s="56">
        <v>0</v>
      </c>
      <c r="I306" s="56">
        <v>1126217.61</v>
      </c>
      <c r="J306" s="56">
        <v>0</v>
      </c>
      <c r="K306" s="56">
        <v>22</v>
      </c>
      <c r="M306" s="56">
        <v>1</v>
      </c>
      <c r="N306" s="56">
        <v>0</v>
      </c>
      <c r="O306" s="56">
        <v>1</v>
      </c>
      <c r="P306" s="56">
        <v>1</v>
      </c>
      <c r="Q306" s="56">
        <v>3360427.86</v>
      </c>
      <c r="R306" s="56">
        <v>267869319.83</v>
      </c>
      <c r="S306" s="56">
        <v>79</v>
      </c>
      <c r="T306" s="56">
        <v>147774127.36</v>
      </c>
      <c r="U306" s="56">
        <v>0</v>
      </c>
      <c r="V306" s="56">
        <v>0</v>
      </c>
      <c r="W306" s="56">
        <v>2845472.57</v>
      </c>
      <c r="X306" s="56">
        <v>3360427.86</v>
      </c>
      <c r="Y306" s="55" t="s">
        <v>272</v>
      </c>
    </row>
    <row r="307" spans="1:25">
      <c r="A307" s="55" t="s">
        <v>851</v>
      </c>
      <c r="B307" s="56">
        <v>1</v>
      </c>
      <c r="C307" s="56">
        <v>0</v>
      </c>
      <c r="D307" s="56">
        <v>0</v>
      </c>
      <c r="E307" s="56">
        <v>119200000</v>
      </c>
      <c r="F307" s="56">
        <v>1060669.492</v>
      </c>
      <c r="G307" s="56">
        <v>0</v>
      </c>
      <c r="H307" s="56">
        <v>119200000</v>
      </c>
      <c r="I307" s="56">
        <v>0</v>
      </c>
      <c r="J307" s="56">
        <v>29937934.29</v>
      </c>
      <c r="K307" s="56">
        <v>200</v>
      </c>
      <c r="N307" s="56">
        <v>0</v>
      </c>
      <c r="O307" s="56">
        <v>1</v>
      </c>
      <c r="P307" s="56">
        <v>1</v>
      </c>
      <c r="Q307" s="56">
        <v>29937934.29</v>
      </c>
      <c r="R307" s="56">
        <v>119200000</v>
      </c>
      <c r="S307" s="56">
        <v>200</v>
      </c>
      <c r="T307" s="56">
        <v>29937934.29</v>
      </c>
      <c r="U307" s="56">
        <v>0</v>
      </c>
      <c r="V307" s="56">
        <v>0</v>
      </c>
      <c r="W307" s="56">
        <v>1496896.71</v>
      </c>
      <c r="X307" s="56">
        <v>119200000</v>
      </c>
      <c r="Y307" s="55" t="s">
        <v>272</v>
      </c>
    </row>
    <row r="308" spans="1:25">
      <c r="A308" s="55" t="s">
        <v>852</v>
      </c>
      <c r="B308" s="56">
        <v>5</v>
      </c>
      <c r="C308" s="56">
        <v>0</v>
      </c>
      <c r="D308" s="56">
        <v>0</v>
      </c>
      <c r="E308" s="56">
        <v>31290000</v>
      </c>
      <c r="F308" s="56">
        <v>767731.3288</v>
      </c>
      <c r="G308" s="56">
        <v>0</v>
      </c>
      <c r="H308" s="56">
        <v>53640000</v>
      </c>
      <c r="I308" s="56">
        <v>0</v>
      </c>
      <c r="J308" s="56">
        <v>282250.24</v>
      </c>
      <c r="K308" s="56">
        <v>81</v>
      </c>
      <c r="N308" s="56">
        <v>0</v>
      </c>
      <c r="O308" s="56">
        <v>1</v>
      </c>
      <c r="P308" s="56">
        <v>1</v>
      </c>
      <c r="Q308" s="56">
        <v>282250.24</v>
      </c>
      <c r="R308" s="56">
        <v>363560000</v>
      </c>
      <c r="S308" s="56">
        <v>217</v>
      </c>
      <c r="T308" s="56">
        <v>282250.24</v>
      </c>
      <c r="U308" s="56">
        <v>0</v>
      </c>
      <c r="V308" s="56">
        <v>0</v>
      </c>
      <c r="W308" s="56">
        <v>14112.51</v>
      </c>
      <c r="X308" s="56">
        <v>53640000</v>
      </c>
      <c r="Y308" s="55" t="s">
        <v>272</v>
      </c>
    </row>
    <row r="309" spans="1:25">
      <c r="A309" s="55" t="s">
        <v>853</v>
      </c>
      <c r="B309" s="56">
        <v>3</v>
      </c>
      <c r="C309" s="56">
        <v>0</v>
      </c>
      <c r="D309" s="56">
        <v>0</v>
      </c>
      <c r="E309" s="56">
        <v>14900000</v>
      </c>
      <c r="F309" s="56">
        <v>315297.1772</v>
      </c>
      <c r="G309" s="56">
        <v>0</v>
      </c>
      <c r="H309" s="56">
        <v>29800000</v>
      </c>
      <c r="I309" s="56">
        <v>0</v>
      </c>
      <c r="J309" s="56">
        <v>2050932.35</v>
      </c>
      <c r="K309" s="56">
        <v>64</v>
      </c>
      <c r="N309" s="56">
        <v>0</v>
      </c>
      <c r="O309" s="56">
        <v>1</v>
      </c>
      <c r="P309" s="56">
        <v>1</v>
      </c>
      <c r="Q309" s="56">
        <v>2050932.35</v>
      </c>
      <c r="R309" s="56">
        <v>29800000</v>
      </c>
      <c r="S309" s="56">
        <v>68</v>
      </c>
      <c r="T309" s="56">
        <v>2050932.35</v>
      </c>
      <c r="U309" s="56">
        <v>0</v>
      </c>
      <c r="V309" s="56">
        <v>0</v>
      </c>
      <c r="W309" s="56">
        <v>102546.62</v>
      </c>
      <c r="X309" s="56">
        <v>29800000</v>
      </c>
      <c r="Y309" s="55" t="s">
        <v>272</v>
      </c>
    </row>
    <row r="310" spans="1:25">
      <c r="A310" s="55" t="s">
        <v>854</v>
      </c>
      <c r="B310" s="56">
        <v>5</v>
      </c>
      <c r="C310" s="56">
        <v>0</v>
      </c>
      <c r="D310" s="56">
        <v>0</v>
      </c>
      <c r="E310" s="56">
        <v>17880000</v>
      </c>
      <c r="F310" s="56">
        <v>483714.0733</v>
      </c>
      <c r="G310" s="56">
        <v>0</v>
      </c>
      <c r="H310" s="56">
        <v>43210000</v>
      </c>
      <c r="I310" s="56">
        <v>0</v>
      </c>
      <c r="J310" s="56">
        <v>0</v>
      </c>
      <c r="K310" s="56">
        <v>40</v>
      </c>
      <c r="L310" s="56">
        <v>0</v>
      </c>
      <c r="M310" s="56">
        <v>1</v>
      </c>
      <c r="N310" s="56">
        <v>0</v>
      </c>
      <c r="O310" s="56">
        <v>1</v>
      </c>
      <c r="P310" s="56">
        <v>1</v>
      </c>
      <c r="Q310" s="56">
        <v>0</v>
      </c>
      <c r="R310" s="56">
        <v>43210000</v>
      </c>
      <c r="S310" s="56">
        <v>69</v>
      </c>
      <c r="T310" s="56">
        <v>0</v>
      </c>
      <c r="U310" s="56">
        <v>0</v>
      </c>
      <c r="V310" s="56">
        <v>0</v>
      </c>
      <c r="W310" s="56">
        <v>0</v>
      </c>
      <c r="X310" s="56">
        <v>43210000</v>
      </c>
      <c r="Y310" s="55" t="s">
        <v>272</v>
      </c>
    </row>
    <row r="311" spans="1:25">
      <c r="A311" s="55" t="s">
        <v>855</v>
      </c>
      <c r="B311" s="56">
        <v>8</v>
      </c>
      <c r="C311" s="56">
        <v>0</v>
      </c>
      <c r="D311" s="56">
        <v>0</v>
      </c>
      <c r="E311" s="56">
        <v>4470000</v>
      </c>
      <c r="F311" s="56">
        <v>1483938.746</v>
      </c>
      <c r="G311" s="56">
        <v>0</v>
      </c>
      <c r="H311" s="56">
        <v>4470000</v>
      </c>
      <c r="I311" s="56">
        <v>0</v>
      </c>
      <c r="J311" s="56">
        <v>0</v>
      </c>
      <c r="K311" s="56">
        <v>70.33</v>
      </c>
      <c r="L311" s="56">
        <v>0</v>
      </c>
      <c r="M311" s="56">
        <v>1</v>
      </c>
      <c r="N311" s="56">
        <v>0</v>
      </c>
      <c r="O311" s="56">
        <v>2</v>
      </c>
      <c r="P311" s="56">
        <v>2</v>
      </c>
      <c r="Q311" s="56">
        <v>26327659.28</v>
      </c>
      <c r="R311" s="56">
        <v>242742993.89</v>
      </c>
      <c r="S311" s="56">
        <v>98</v>
      </c>
      <c r="T311" s="56">
        <v>54281216.18</v>
      </c>
      <c r="U311" s="56">
        <v>1</v>
      </c>
      <c r="V311" s="56">
        <v>0</v>
      </c>
      <c r="W311" s="56">
        <v>1856438.75</v>
      </c>
      <c r="X311" s="56">
        <v>4470000</v>
      </c>
      <c r="Y311" s="55" t="s">
        <v>272</v>
      </c>
    </row>
    <row r="312" spans="1:25">
      <c r="A312" s="55" t="s">
        <v>856</v>
      </c>
      <c r="B312" s="56">
        <v>322</v>
      </c>
      <c r="C312" s="56">
        <v>0</v>
      </c>
      <c r="D312" s="56">
        <v>0</v>
      </c>
      <c r="F312" s="56">
        <v>486458.2524</v>
      </c>
      <c r="G312" s="56">
        <v>1900491.23</v>
      </c>
      <c r="H312" s="56">
        <v>0</v>
      </c>
      <c r="I312" s="56">
        <v>928569.99491</v>
      </c>
      <c r="J312" s="56">
        <v>0</v>
      </c>
      <c r="K312" s="56">
        <v>1.8</v>
      </c>
      <c r="L312" s="56">
        <v>0</v>
      </c>
      <c r="M312" s="56">
        <v>1</v>
      </c>
      <c r="N312" s="56">
        <v>0</v>
      </c>
      <c r="O312" s="56">
        <v>1</v>
      </c>
      <c r="P312" s="56">
        <v>1</v>
      </c>
      <c r="Q312" s="56">
        <v>2189736.22</v>
      </c>
      <c r="R312" s="56">
        <v>2950356.45</v>
      </c>
      <c r="S312" s="56">
        <v>38</v>
      </c>
      <c r="T312" s="56">
        <v>2189736.22</v>
      </c>
      <c r="U312" s="56">
        <v>0</v>
      </c>
      <c r="V312" s="56">
        <v>0</v>
      </c>
      <c r="W312" s="56">
        <v>936707.14</v>
      </c>
      <c r="X312" s="56">
        <v>1900491.23</v>
      </c>
      <c r="Y312" s="55" t="s">
        <v>272</v>
      </c>
    </row>
    <row r="313" spans="1:25">
      <c r="A313" s="55" t="s">
        <v>857</v>
      </c>
      <c r="B313" s="56">
        <v>1</v>
      </c>
      <c r="C313" s="56">
        <v>0</v>
      </c>
      <c r="D313" s="56">
        <v>0</v>
      </c>
      <c r="G313" s="56">
        <v>0</v>
      </c>
      <c r="H313" s="56">
        <v>0</v>
      </c>
      <c r="I313" s="56">
        <v>0</v>
      </c>
      <c r="J313" s="56">
        <v>0</v>
      </c>
      <c r="M313" s="56">
        <v>1</v>
      </c>
      <c r="Q313" s="56">
        <v>0</v>
      </c>
      <c r="R313" s="56">
        <v>28310000</v>
      </c>
      <c r="S313" s="56">
        <v>59</v>
      </c>
      <c r="T313" s="56">
        <v>0</v>
      </c>
      <c r="U313" s="56">
        <v>0</v>
      </c>
      <c r="V313" s="56">
        <v>0</v>
      </c>
      <c r="W313" s="56">
        <v>0</v>
      </c>
      <c r="X313" s="56">
        <v>0</v>
      </c>
      <c r="Y313" s="55" t="s">
        <v>272</v>
      </c>
    </row>
    <row r="314" spans="1:25">
      <c r="A314" s="55" t="s">
        <v>858</v>
      </c>
      <c r="B314" s="56">
        <v>48</v>
      </c>
      <c r="C314" s="56">
        <v>0</v>
      </c>
      <c r="D314" s="56">
        <v>0</v>
      </c>
      <c r="E314" s="56">
        <v>47680000</v>
      </c>
      <c r="F314" s="56">
        <v>2570285.792</v>
      </c>
      <c r="G314" s="56">
        <v>9932151.439999999</v>
      </c>
      <c r="H314" s="56">
        <v>47850158</v>
      </c>
      <c r="I314" s="56">
        <v>4033861.8184</v>
      </c>
      <c r="J314" s="56">
        <v>14595691.65</v>
      </c>
      <c r="K314" s="56">
        <v>21.83</v>
      </c>
      <c r="L314" s="56">
        <v>0</v>
      </c>
      <c r="M314" s="56">
        <v>1</v>
      </c>
      <c r="N314" s="56">
        <v>90</v>
      </c>
      <c r="O314" s="56">
        <v>2</v>
      </c>
      <c r="P314" s="56">
        <v>2</v>
      </c>
      <c r="Q314" s="56">
        <v>24527843.09</v>
      </c>
      <c r="R314" s="56">
        <v>109069332.06</v>
      </c>
      <c r="S314" s="56">
        <v>93</v>
      </c>
      <c r="T314" s="56">
        <v>24527843.09</v>
      </c>
      <c r="U314" s="56">
        <v>1</v>
      </c>
      <c r="V314" s="56">
        <v>0</v>
      </c>
      <c r="W314" s="56">
        <v>4763646.4</v>
      </c>
      <c r="X314" s="56">
        <v>57782309.44</v>
      </c>
      <c r="Y314" s="55" t="s">
        <v>272</v>
      </c>
    </row>
    <row r="315" spans="1:25">
      <c r="A315" s="55" t="s">
        <v>859</v>
      </c>
      <c r="B315" s="56">
        <v>2</v>
      </c>
      <c r="C315" s="56">
        <v>0</v>
      </c>
      <c r="D315" s="56">
        <v>0</v>
      </c>
      <c r="E315" s="56">
        <v>140060000</v>
      </c>
      <c r="F315" s="56">
        <v>2023966.267</v>
      </c>
      <c r="G315" s="56">
        <v>0</v>
      </c>
      <c r="H315" s="56">
        <v>140060000</v>
      </c>
      <c r="I315" s="56">
        <v>0</v>
      </c>
      <c r="J315" s="56">
        <v>2867447.52</v>
      </c>
      <c r="K315" s="56">
        <v>105</v>
      </c>
      <c r="N315" s="56">
        <v>0</v>
      </c>
      <c r="O315" s="56">
        <v>1</v>
      </c>
      <c r="P315" s="56">
        <v>1</v>
      </c>
      <c r="Q315" s="56">
        <v>2867447.52</v>
      </c>
      <c r="R315" s="56">
        <v>214560000</v>
      </c>
      <c r="S315" s="56">
        <v>105</v>
      </c>
      <c r="T315" s="56">
        <v>2867447.52</v>
      </c>
      <c r="U315" s="56">
        <v>0</v>
      </c>
      <c r="V315" s="56">
        <v>0</v>
      </c>
      <c r="W315" s="56">
        <v>143372.38</v>
      </c>
      <c r="X315" s="56">
        <v>140060000</v>
      </c>
      <c r="Y315" s="55" t="s">
        <v>272</v>
      </c>
    </row>
    <row r="316" spans="1:25">
      <c r="A316" s="55" t="s">
        <v>860</v>
      </c>
      <c r="B316" s="56">
        <v>15</v>
      </c>
      <c r="C316" s="56">
        <v>0</v>
      </c>
      <c r="D316" s="56">
        <v>0</v>
      </c>
      <c r="E316" s="56">
        <v>7450000</v>
      </c>
      <c r="F316" s="56">
        <v>383539.9268</v>
      </c>
      <c r="G316" s="56">
        <v>411364.5</v>
      </c>
      <c r="H316" s="56">
        <v>7450000</v>
      </c>
      <c r="I316" s="56">
        <v>473110.31818</v>
      </c>
      <c r="J316" s="56">
        <v>1952730</v>
      </c>
      <c r="K316" s="56">
        <v>3.4</v>
      </c>
      <c r="L316" s="56">
        <v>0</v>
      </c>
      <c r="M316" s="56">
        <v>1</v>
      </c>
      <c r="N316" s="56">
        <v>0</v>
      </c>
      <c r="O316" s="56">
        <v>1</v>
      </c>
      <c r="P316" s="56">
        <v>1</v>
      </c>
      <c r="Q316" s="56">
        <v>2516761.5</v>
      </c>
      <c r="R316" s="56">
        <v>9021176.689999999</v>
      </c>
      <c r="S316" s="56">
        <v>16</v>
      </c>
      <c r="T316" s="56">
        <v>2516761.5</v>
      </c>
      <c r="U316" s="56">
        <v>0</v>
      </c>
      <c r="V316" s="56">
        <v>0</v>
      </c>
      <c r="W316" s="56">
        <v>577490.95</v>
      </c>
      <c r="X316" s="56">
        <v>7861364.5</v>
      </c>
      <c r="Y316" s="55" t="s">
        <v>272</v>
      </c>
    </row>
    <row r="317" spans="1:25">
      <c r="A317" s="55" t="s">
        <v>861</v>
      </c>
      <c r="B317" s="56">
        <v>11</v>
      </c>
      <c r="C317" s="56">
        <v>0</v>
      </c>
      <c r="D317" s="56">
        <v>0</v>
      </c>
      <c r="E317" s="56">
        <v>83440000</v>
      </c>
      <c r="F317" s="56">
        <v>8554396.528000001</v>
      </c>
      <c r="G317" s="56">
        <v>113048554.3</v>
      </c>
      <c r="H317" s="56">
        <v>213070000</v>
      </c>
      <c r="I317" s="56">
        <v>6507815.133</v>
      </c>
      <c r="J317" s="56">
        <v>10699734.78</v>
      </c>
      <c r="K317" s="56">
        <v>22</v>
      </c>
      <c r="L317" s="56">
        <v>0</v>
      </c>
      <c r="M317" s="56">
        <v>1</v>
      </c>
      <c r="N317" s="56">
        <v>0</v>
      </c>
      <c r="O317" s="56">
        <v>1</v>
      </c>
      <c r="P317" s="56">
        <v>1</v>
      </c>
      <c r="Q317" s="56">
        <v>123748289.08</v>
      </c>
      <c r="R317" s="56">
        <v>2735684363.3</v>
      </c>
      <c r="S317" s="56">
        <v>106</v>
      </c>
      <c r="T317" s="56">
        <v>615791265.78</v>
      </c>
      <c r="U317" s="56">
        <v>0</v>
      </c>
      <c r="V317" s="56">
        <v>0</v>
      </c>
      <c r="W317" s="56">
        <v>15597198.4</v>
      </c>
      <c r="X317" s="56">
        <v>326118554.3</v>
      </c>
      <c r="Y317" s="55" t="s">
        <v>272</v>
      </c>
    </row>
    <row r="318" spans="1:25">
      <c r="A318" s="55" t="s">
        <v>862</v>
      </c>
      <c r="B318" s="56">
        <v>1</v>
      </c>
      <c r="C318" s="56">
        <v>0</v>
      </c>
      <c r="D318" s="56">
        <v>0</v>
      </c>
      <c r="F318" s="56">
        <v>1297921.212</v>
      </c>
      <c r="G318" s="56">
        <v>0</v>
      </c>
      <c r="H318" s="56">
        <v>0</v>
      </c>
      <c r="I318" s="56">
        <v>1297921.212</v>
      </c>
      <c r="J318" s="56">
        <v>0</v>
      </c>
      <c r="K318" s="56">
        <v>34</v>
      </c>
      <c r="N318" s="56">
        <v>0</v>
      </c>
      <c r="O318" s="56">
        <v>1</v>
      </c>
      <c r="P318" s="56">
        <v>1</v>
      </c>
      <c r="Q318" s="56">
        <v>0</v>
      </c>
      <c r="R318" s="56">
        <v>29800000</v>
      </c>
      <c r="S318" s="56">
        <v>34</v>
      </c>
      <c r="T318" s="56">
        <v>0</v>
      </c>
      <c r="U318" s="56">
        <v>0</v>
      </c>
      <c r="V318" s="56">
        <v>0</v>
      </c>
      <c r="W318" s="56">
        <v>1297921.21</v>
      </c>
      <c r="X318" s="56">
        <v>0</v>
      </c>
      <c r="Y318" s="55" t="s">
        <v>272</v>
      </c>
    </row>
    <row r="319" spans="1:25">
      <c r="A319" s="55" t="s">
        <v>863</v>
      </c>
      <c r="B319" s="56">
        <v>1</v>
      </c>
      <c r="C319" s="56">
        <v>0</v>
      </c>
      <c r="D319" s="56">
        <v>0</v>
      </c>
      <c r="F319" s="56">
        <v>22664343.4</v>
      </c>
      <c r="G319" s="56">
        <v>0</v>
      </c>
      <c r="H319" s="56">
        <v>0</v>
      </c>
      <c r="I319" s="56">
        <v>0</v>
      </c>
      <c r="J319" s="56">
        <v>0</v>
      </c>
      <c r="K319" s="56">
        <v>15</v>
      </c>
      <c r="N319" s="56">
        <v>0</v>
      </c>
      <c r="O319" s="56">
        <v>1</v>
      </c>
      <c r="P319" s="56">
        <v>1</v>
      </c>
      <c r="Q319" s="56">
        <v>0</v>
      </c>
      <c r="R319" s="56">
        <v>745000000</v>
      </c>
      <c r="S319" s="56">
        <v>15</v>
      </c>
      <c r="T319" s="56">
        <v>429958105.8</v>
      </c>
      <c r="U319" s="56">
        <v>0</v>
      </c>
      <c r="V319" s="56">
        <v>0</v>
      </c>
      <c r="W319" s="56">
        <v>22664343.4</v>
      </c>
      <c r="X319" s="56">
        <v>0</v>
      </c>
      <c r="Y319" s="55" t="s">
        <v>272</v>
      </c>
    </row>
    <row r="320" spans="1:25">
      <c r="A320" s="55" t="s">
        <v>864</v>
      </c>
      <c r="B320" s="56">
        <v>1</v>
      </c>
      <c r="C320" s="56">
        <v>0</v>
      </c>
      <c r="D320" s="56">
        <v>0</v>
      </c>
      <c r="G320" s="56">
        <v>0</v>
      </c>
      <c r="H320" s="56">
        <v>0</v>
      </c>
      <c r="I320" s="56">
        <v>0</v>
      </c>
      <c r="J320" s="56">
        <v>0</v>
      </c>
      <c r="Q320" s="56">
        <v>0</v>
      </c>
      <c r="R320" s="56">
        <v>0</v>
      </c>
      <c r="S320" s="56">
        <v>72</v>
      </c>
      <c r="T320" s="56">
        <v>0</v>
      </c>
      <c r="U320" s="56">
        <v>0</v>
      </c>
      <c r="V320" s="56">
        <v>0</v>
      </c>
      <c r="W320" s="56">
        <v>0</v>
      </c>
      <c r="X320" s="56">
        <v>0</v>
      </c>
      <c r="Y320" s="55" t="s">
        <v>272</v>
      </c>
    </row>
    <row r="321" spans="1:25">
      <c r="A321" s="55" t="s">
        <v>865</v>
      </c>
      <c r="B321" s="56">
        <v>2</v>
      </c>
      <c r="C321" s="56">
        <v>0</v>
      </c>
      <c r="D321" s="56">
        <v>0</v>
      </c>
      <c r="E321" s="56">
        <v>74500000</v>
      </c>
      <c r="F321" s="56">
        <v>2015475.306</v>
      </c>
      <c r="G321" s="56">
        <v>0</v>
      </c>
      <c r="H321" s="56">
        <v>80460000</v>
      </c>
      <c r="I321" s="56">
        <v>0</v>
      </c>
      <c r="J321" s="56">
        <v>0</v>
      </c>
      <c r="K321" s="56">
        <v>37.5</v>
      </c>
      <c r="N321" s="56">
        <v>0</v>
      </c>
      <c r="O321" s="56">
        <v>1</v>
      </c>
      <c r="P321" s="56">
        <v>1</v>
      </c>
      <c r="Q321" s="56">
        <v>0</v>
      </c>
      <c r="R321" s="56">
        <v>80460000</v>
      </c>
      <c r="S321" s="56">
        <v>74</v>
      </c>
      <c r="T321" s="56">
        <v>0</v>
      </c>
      <c r="U321" s="56">
        <v>0</v>
      </c>
      <c r="V321" s="56">
        <v>0</v>
      </c>
      <c r="W321" s="56">
        <v>0</v>
      </c>
      <c r="X321" s="56">
        <v>80460000</v>
      </c>
      <c r="Y321" s="55" t="s">
        <v>272</v>
      </c>
    </row>
    <row r="322" spans="1:25">
      <c r="A322" s="55" t="s">
        <v>866</v>
      </c>
      <c r="B322" s="56">
        <v>1</v>
      </c>
      <c r="C322" s="56">
        <v>0</v>
      </c>
      <c r="D322" s="56">
        <v>0</v>
      </c>
      <c r="F322" s="56">
        <v>7673536.971</v>
      </c>
      <c r="G322" s="56">
        <v>0</v>
      </c>
      <c r="H322" s="56">
        <v>0</v>
      </c>
      <c r="I322" s="56">
        <v>0</v>
      </c>
      <c r="J322" s="56">
        <v>0</v>
      </c>
      <c r="K322" s="56">
        <v>20</v>
      </c>
      <c r="N322" s="56">
        <v>0</v>
      </c>
      <c r="O322" s="56">
        <v>1</v>
      </c>
      <c r="P322" s="56">
        <v>1</v>
      </c>
      <c r="Q322" s="56">
        <v>0</v>
      </c>
      <c r="R322" s="56">
        <v>1986923874</v>
      </c>
      <c r="S322" s="56">
        <v>20</v>
      </c>
      <c r="T322" s="56">
        <v>703018674.9</v>
      </c>
      <c r="U322" s="56">
        <v>0</v>
      </c>
      <c r="V322" s="56">
        <v>0</v>
      </c>
      <c r="W322" s="56">
        <v>7673536.97</v>
      </c>
      <c r="X322" s="56">
        <v>0</v>
      </c>
      <c r="Y322" s="55" t="s">
        <v>272</v>
      </c>
    </row>
    <row r="323" spans="1:25">
      <c r="A323" s="55" t="s">
        <v>867</v>
      </c>
      <c r="B323" s="56">
        <v>3</v>
      </c>
      <c r="C323" s="56">
        <v>0</v>
      </c>
      <c r="D323" s="56">
        <v>0</v>
      </c>
      <c r="F323" s="56">
        <v>7674990</v>
      </c>
      <c r="G323" s="56">
        <v>56408000</v>
      </c>
      <c r="H323" s="56">
        <v>0</v>
      </c>
      <c r="I323" s="56">
        <v>10143030.394</v>
      </c>
      <c r="J323" s="56">
        <v>0</v>
      </c>
      <c r="K323" s="56">
        <v>26.5</v>
      </c>
      <c r="M323" s="56">
        <v>1</v>
      </c>
      <c r="N323" s="56">
        <v>0</v>
      </c>
      <c r="O323" s="56">
        <v>1</v>
      </c>
      <c r="P323" s="56">
        <v>1</v>
      </c>
      <c r="Q323" s="56">
        <v>56408000</v>
      </c>
      <c r="R323" s="56">
        <v>72563000</v>
      </c>
      <c r="S323" s="56">
        <v>52</v>
      </c>
      <c r="T323" s="56">
        <v>56408000</v>
      </c>
      <c r="U323" s="56">
        <v>0</v>
      </c>
      <c r="V323" s="56">
        <v>0</v>
      </c>
      <c r="W323" s="56">
        <v>10143030.39</v>
      </c>
      <c r="X323" s="56">
        <v>56408000</v>
      </c>
      <c r="Y323" s="55" t="s">
        <v>272</v>
      </c>
    </row>
    <row r="324" spans="1:25">
      <c r="A324" s="55" t="s">
        <v>868</v>
      </c>
      <c r="B324" s="56">
        <v>1</v>
      </c>
      <c r="C324" s="56">
        <v>0</v>
      </c>
      <c r="D324" s="56">
        <v>0</v>
      </c>
      <c r="F324" s="56">
        <v>6792196.177</v>
      </c>
      <c r="G324" s="56">
        <v>0</v>
      </c>
      <c r="H324" s="56">
        <v>0</v>
      </c>
      <c r="I324" s="56">
        <v>0</v>
      </c>
      <c r="J324" s="56">
        <v>0</v>
      </c>
      <c r="K324" s="56">
        <v>44</v>
      </c>
      <c r="L324" s="56">
        <v>0</v>
      </c>
      <c r="N324" s="56">
        <v>0</v>
      </c>
      <c r="O324" s="56">
        <v>1</v>
      </c>
      <c r="P324" s="56">
        <v>1</v>
      </c>
      <c r="Q324" s="56">
        <v>0</v>
      </c>
      <c r="R324" s="56">
        <v>119808870.6</v>
      </c>
      <c r="S324" s="56">
        <v>44</v>
      </c>
      <c r="T324" s="56">
        <v>117396611.5</v>
      </c>
      <c r="U324" s="56">
        <v>0</v>
      </c>
      <c r="V324" s="56">
        <v>0</v>
      </c>
      <c r="W324" s="56">
        <v>6792196.18</v>
      </c>
      <c r="X324" s="56">
        <v>0</v>
      </c>
      <c r="Y324" s="55" t="s">
        <v>272</v>
      </c>
    </row>
    <row r="325" spans="1:25">
      <c r="A325" s="55" t="s">
        <v>869</v>
      </c>
      <c r="B325" s="56">
        <v>12</v>
      </c>
      <c r="C325" s="56">
        <v>0</v>
      </c>
      <c r="D325" s="56">
        <v>0</v>
      </c>
      <c r="E325" s="56">
        <v>521872500</v>
      </c>
      <c r="F325" s="56">
        <v>9245537.829</v>
      </c>
      <c r="G325" s="56">
        <v>0</v>
      </c>
      <c r="H325" s="56">
        <v>627662500</v>
      </c>
      <c r="I325" s="56">
        <v>0</v>
      </c>
      <c r="J325" s="56">
        <v>339651573.51</v>
      </c>
      <c r="K325" s="56">
        <v>160</v>
      </c>
      <c r="M325" s="56">
        <v>1</v>
      </c>
      <c r="N325" s="56">
        <v>0</v>
      </c>
      <c r="O325" s="56">
        <v>1</v>
      </c>
      <c r="P325" s="56">
        <v>1</v>
      </c>
      <c r="Q325" s="56">
        <v>339651573.51</v>
      </c>
      <c r="R325" s="56">
        <v>772192500</v>
      </c>
      <c r="S325" s="56">
        <v>236</v>
      </c>
      <c r="T325" s="56">
        <v>339651573.51</v>
      </c>
      <c r="U325" s="56">
        <v>0</v>
      </c>
      <c r="V325" s="56">
        <v>0</v>
      </c>
      <c r="W325" s="56">
        <v>16982578.68</v>
      </c>
      <c r="X325" s="56">
        <v>627662500</v>
      </c>
      <c r="Y325" s="55" t="s">
        <v>272</v>
      </c>
    </row>
    <row r="326" spans="1:25">
      <c r="A326" s="55" t="s">
        <v>870</v>
      </c>
      <c r="B326" s="56">
        <v>10</v>
      </c>
      <c r="C326" s="56">
        <v>0</v>
      </c>
      <c r="D326" s="56">
        <v>3</v>
      </c>
      <c r="G326" s="56">
        <v>0</v>
      </c>
      <c r="H326" s="56">
        <v>0</v>
      </c>
      <c r="I326" s="56">
        <v>0</v>
      </c>
      <c r="J326" s="56">
        <v>0</v>
      </c>
      <c r="L326" s="56">
        <v>1175</v>
      </c>
      <c r="M326" s="56">
        <v>5</v>
      </c>
      <c r="N326" s="56">
        <v>1175</v>
      </c>
      <c r="O326" s="56">
        <v>5</v>
      </c>
      <c r="P326" s="56">
        <v>5</v>
      </c>
      <c r="Q326" s="56">
        <v>16802122.76</v>
      </c>
      <c r="R326" s="56">
        <v>24373810.38</v>
      </c>
      <c r="S326" s="56">
        <v>58</v>
      </c>
      <c r="T326" s="56">
        <v>16802122.76</v>
      </c>
      <c r="U326" s="56">
        <v>0</v>
      </c>
      <c r="V326" s="56">
        <v>3</v>
      </c>
      <c r="W326" s="56">
        <v>0</v>
      </c>
      <c r="X326" s="56">
        <v>0</v>
      </c>
      <c r="Y326" s="55" t="s">
        <v>546</v>
      </c>
    </row>
    <row r="327" spans="1:25">
      <c r="A327" s="55" t="s">
        <v>871</v>
      </c>
      <c r="B327" s="56">
        <v>14</v>
      </c>
      <c r="C327" s="56">
        <v>0</v>
      </c>
      <c r="D327" s="56">
        <v>0</v>
      </c>
      <c r="E327" s="56">
        <v>411240000</v>
      </c>
      <c r="F327" s="56">
        <v>8221990.202</v>
      </c>
      <c r="G327" s="56">
        <v>0</v>
      </c>
      <c r="H327" s="56">
        <v>560240000</v>
      </c>
      <c r="I327" s="56">
        <v>0</v>
      </c>
      <c r="J327" s="56">
        <v>184125534.82</v>
      </c>
      <c r="K327" s="56">
        <v>108</v>
      </c>
      <c r="M327" s="56">
        <v>1</v>
      </c>
      <c r="N327" s="56">
        <v>0</v>
      </c>
      <c r="O327" s="56">
        <v>1</v>
      </c>
      <c r="P327" s="56">
        <v>1</v>
      </c>
      <c r="Q327" s="56">
        <v>184125534.82</v>
      </c>
      <c r="R327" s="56">
        <v>665263916.5</v>
      </c>
      <c r="S327" s="56">
        <v>140</v>
      </c>
      <c r="T327" s="56">
        <v>184125534.82</v>
      </c>
      <c r="U327" s="56">
        <v>0</v>
      </c>
      <c r="V327" s="56">
        <v>0</v>
      </c>
      <c r="W327" s="56">
        <v>9206276.74</v>
      </c>
      <c r="X327" s="56">
        <v>560240000</v>
      </c>
      <c r="Y327" s="55" t="s">
        <v>272</v>
      </c>
    </row>
    <row r="328" spans="1:25">
      <c r="A328" s="55" t="s">
        <v>872</v>
      </c>
      <c r="B328" s="56">
        <v>156</v>
      </c>
      <c r="C328" s="56">
        <v>0</v>
      </c>
      <c r="D328" s="56">
        <v>19</v>
      </c>
      <c r="F328" s="56">
        <v>517206.4961</v>
      </c>
      <c r="G328" s="56">
        <v>1044510.82</v>
      </c>
      <c r="H328" s="56">
        <v>0</v>
      </c>
      <c r="I328" s="56">
        <v>517206.4961</v>
      </c>
      <c r="J328" s="56">
        <v>0</v>
      </c>
      <c r="K328" s="56">
        <v>1</v>
      </c>
      <c r="L328" s="56">
        <v>285</v>
      </c>
      <c r="M328" s="56">
        <v>4</v>
      </c>
      <c r="N328" s="56">
        <v>285</v>
      </c>
      <c r="O328" s="56">
        <v>5</v>
      </c>
      <c r="P328" s="56">
        <v>5</v>
      </c>
      <c r="Q328" s="56">
        <v>6407365.109999999</v>
      </c>
      <c r="R328" s="56">
        <v>12703057.58</v>
      </c>
      <c r="S328" s="56">
        <v>24</v>
      </c>
      <c r="T328" s="56">
        <v>6407365.109999999</v>
      </c>
      <c r="U328" s="56">
        <v>0</v>
      </c>
      <c r="V328" s="56">
        <v>0</v>
      </c>
      <c r="W328" s="56">
        <v>517206.5</v>
      </c>
      <c r="X328" s="56">
        <v>1044510.82</v>
      </c>
      <c r="Y328" s="55" t="s">
        <v>546</v>
      </c>
    </row>
    <row r="329" spans="1:25">
      <c r="A329" s="55" t="s">
        <v>873</v>
      </c>
      <c r="B329" s="56">
        <v>2</v>
      </c>
      <c r="C329" s="56">
        <v>0</v>
      </c>
      <c r="D329" s="56">
        <v>0</v>
      </c>
      <c r="E329" s="56">
        <v>41720000</v>
      </c>
      <c r="F329" s="56">
        <v>834114.9481</v>
      </c>
      <c r="G329" s="56">
        <v>0</v>
      </c>
      <c r="H329" s="56">
        <v>50660000</v>
      </c>
      <c r="I329" s="56">
        <v>0</v>
      </c>
      <c r="J329" s="56">
        <v>2881242.72</v>
      </c>
      <c r="K329" s="56">
        <v>105</v>
      </c>
      <c r="N329" s="56">
        <v>0</v>
      </c>
      <c r="O329" s="56">
        <v>1</v>
      </c>
      <c r="P329" s="56">
        <v>1</v>
      </c>
      <c r="Q329" s="56">
        <v>2881242.72</v>
      </c>
      <c r="R329" s="56">
        <v>50660000</v>
      </c>
      <c r="S329" s="56">
        <v>106</v>
      </c>
      <c r="T329" s="56">
        <v>2881242.72</v>
      </c>
      <c r="U329" s="56">
        <v>0</v>
      </c>
      <c r="V329" s="56">
        <v>0</v>
      </c>
      <c r="W329" s="56">
        <v>144062.14</v>
      </c>
      <c r="X329" s="56">
        <v>50660000</v>
      </c>
      <c r="Y329" s="55" t="s">
        <v>272</v>
      </c>
    </row>
    <row r="330" spans="1:25">
      <c r="A330" s="55" t="s">
        <v>874</v>
      </c>
      <c r="B330" s="56">
        <v>2</v>
      </c>
      <c r="C330" s="56">
        <v>0</v>
      </c>
      <c r="D330" s="56">
        <v>0</v>
      </c>
      <c r="E330" s="56">
        <v>260750000</v>
      </c>
      <c r="F330" s="56">
        <v>5108019.8</v>
      </c>
      <c r="G330" s="56">
        <v>0</v>
      </c>
      <c r="H330" s="56">
        <v>335250000</v>
      </c>
      <c r="I330" s="56">
        <v>0</v>
      </c>
      <c r="J330" s="56">
        <v>9298653.199999999</v>
      </c>
      <c r="K330" s="56">
        <v>83.5</v>
      </c>
      <c r="L330" s="56">
        <v>0</v>
      </c>
      <c r="N330" s="56">
        <v>0</v>
      </c>
      <c r="O330" s="56">
        <v>1</v>
      </c>
      <c r="P330" s="56">
        <v>1</v>
      </c>
      <c r="Q330" s="56">
        <v>9298653.199999999</v>
      </c>
      <c r="R330" s="56">
        <v>335250000</v>
      </c>
      <c r="S330" s="56">
        <v>118</v>
      </c>
      <c r="T330" s="56">
        <v>9298653.199999999</v>
      </c>
      <c r="U330" s="56">
        <v>0</v>
      </c>
      <c r="V330" s="56">
        <v>0</v>
      </c>
      <c r="W330" s="56">
        <v>464932.66</v>
      </c>
      <c r="X330" s="56">
        <v>335250000</v>
      </c>
      <c r="Y330" s="55" t="s">
        <v>272</v>
      </c>
    </row>
    <row r="331" spans="1:25">
      <c r="A331" s="55" t="s">
        <v>875</v>
      </c>
      <c r="B331" s="56">
        <v>2</v>
      </c>
      <c r="C331" s="56">
        <v>0</v>
      </c>
      <c r="D331" s="56">
        <v>0</v>
      </c>
      <c r="E331" s="56">
        <v>10430000</v>
      </c>
      <c r="F331" s="56">
        <v>1446307.406</v>
      </c>
      <c r="G331" s="56">
        <v>2709126.36</v>
      </c>
      <c r="H331" s="56">
        <v>10430000</v>
      </c>
      <c r="I331" s="56">
        <v>1446307.406</v>
      </c>
      <c r="J331" s="56">
        <v>1416204.3</v>
      </c>
      <c r="K331" s="56">
        <v>2</v>
      </c>
      <c r="N331" s="56">
        <v>0</v>
      </c>
      <c r="O331" s="56">
        <v>1</v>
      </c>
      <c r="P331" s="56">
        <v>1</v>
      </c>
      <c r="Q331" s="56">
        <v>4125330.66</v>
      </c>
      <c r="R331" s="56">
        <v>13194793.34</v>
      </c>
      <c r="S331" s="56">
        <v>3</v>
      </c>
      <c r="T331" s="56">
        <v>4125330.66</v>
      </c>
      <c r="U331" s="56">
        <v>0</v>
      </c>
      <c r="V331" s="56">
        <v>0</v>
      </c>
      <c r="W331" s="56">
        <v>1517117.62</v>
      </c>
      <c r="X331" s="56">
        <v>13139126.36</v>
      </c>
      <c r="Y331" s="55" t="s">
        <v>272</v>
      </c>
    </row>
    <row r="332" spans="1:25">
      <c r="A332" s="55" t="s">
        <v>876</v>
      </c>
      <c r="B332" s="56">
        <v>2</v>
      </c>
      <c r="C332" s="56">
        <v>0</v>
      </c>
      <c r="D332" s="56">
        <v>0</v>
      </c>
      <c r="F332" s="56">
        <v>5477751.153</v>
      </c>
      <c r="G332" s="56">
        <v>0</v>
      </c>
      <c r="H332" s="56">
        <v>0</v>
      </c>
      <c r="I332" s="56">
        <v>0</v>
      </c>
      <c r="J332" s="56">
        <v>0</v>
      </c>
      <c r="K332" s="56">
        <v>64</v>
      </c>
      <c r="N332" s="56">
        <v>0</v>
      </c>
      <c r="O332" s="56">
        <v>1</v>
      </c>
      <c r="P332" s="56">
        <v>1</v>
      </c>
      <c r="Q332" s="56">
        <v>0</v>
      </c>
      <c r="R332" s="56">
        <v>385965170.2</v>
      </c>
      <c r="S332" s="56">
        <v>64</v>
      </c>
      <c r="T332" s="56">
        <v>383374800</v>
      </c>
      <c r="U332" s="56">
        <v>0</v>
      </c>
      <c r="V332" s="56">
        <v>0</v>
      </c>
      <c r="W332" s="56">
        <v>5477751.15</v>
      </c>
      <c r="X332" s="56">
        <v>0</v>
      </c>
      <c r="Y332" s="55" t="s">
        <v>272</v>
      </c>
    </row>
    <row r="333" spans="1:25">
      <c r="A333" s="55" t="s">
        <v>877</v>
      </c>
      <c r="B333" s="56">
        <v>6</v>
      </c>
      <c r="C333" s="56">
        <v>0</v>
      </c>
      <c r="D333" s="56">
        <v>0</v>
      </c>
      <c r="F333" s="56">
        <v>834897.4379</v>
      </c>
      <c r="G333" s="56">
        <v>3057083.18</v>
      </c>
      <c r="H333" s="56">
        <v>0</v>
      </c>
      <c r="I333" s="56">
        <v>1266888.19729</v>
      </c>
      <c r="J333" s="56">
        <v>0</v>
      </c>
      <c r="K333" s="56">
        <v>4.5</v>
      </c>
      <c r="L333" s="56">
        <v>0</v>
      </c>
      <c r="M333" s="56">
        <v>1</v>
      </c>
      <c r="N333" s="56">
        <v>0</v>
      </c>
      <c r="O333" s="56">
        <v>1</v>
      </c>
      <c r="P333" s="56">
        <v>2</v>
      </c>
      <c r="Q333" s="56">
        <v>3057083.18</v>
      </c>
      <c r="R333" s="56">
        <v>7003224.99</v>
      </c>
      <c r="S333" s="56">
        <v>11</v>
      </c>
      <c r="T333" s="56">
        <v>3057083.18</v>
      </c>
      <c r="U333" s="56">
        <v>1</v>
      </c>
      <c r="V333" s="56">
        <v>0</v>
      </c>
      <c r="W333" s="56">
        <v>1266888.2</v>
      </c>
      <c r="X333" s="56">
        <v>3057083.18</v>
      </c>
      <c r="Y333" s="55" t="s">
        <v>272</v>
      </c>
    </row>
    <row r="334" spans="1:25">
      <c r="A334" s="55" t="s">
        <v>878</v>
      </c>
      <c r="B334" s="56">
        <v>2</v>
      </c>
      <c r="C334" s="56">
        <v>0</v>
      </c>
      <c r="D334" s="56">
        <v>0</v>
      </c>
      <c r="F334" s="56">
        <v>7345831.612</v>
      </c>
      <c r="G334" s="56">
        <v>0</v>
      </c>
      <c r="H334" s="56">
        <v>0</v>
      </c>
      <c r="I334" s="56">
        <v>0</v>
      </c>
      <c r="J334" s="56">
        <v>0</v>
      </c>
      <c r="K334" s="56">
        <v>53</v>
      </c>
      <c r="M334" s="56">
        <v>1</v>
      </c>
      <c r="N334" s="56">
        <v>0</v>
      </c>
      <c r="O334" s="56">
        <v>1</v>
      </c>
      <c r="P334" s="56">
        <v>1</v>
      </c>
      <c r="Q334" s="56">
        <v>0</v>
      </c>
      <c r="R334" s="56">
        <v>216228633.1</v>
      </c>
      <c r="S334" s="56">
        <v>53</v>
      </c>
      <c r="T334" s="56">
        <v>213326235.4</v>
      </c>
      <c r="U334" s="56">
        <v>0</v>
      </c>
      <c r="V334" s="56">
        <v>0</v>
      </c>
      <c r="W334" s="56">
        <v>7345831.61</v>
      </c>
      <c r="X334" s="56">
        <v>0</v>
      </c>
      <c r="Y334" s="55" t="s">
        <v>272</v>
      </c>
    </row>
    <row r="335" spans="1:25">
      <c r="A335" s="55" t="s">
        <v>879</v>
      </c>
      <c r="B335" s="56">
        <v>4</v>
      </c>
      <c r="C335" s="56">
        <v>0</v>
      </c>
      <c r="D335" s="56">
        <v>0</v>
      </c>
      <c r="E335" s="56">
        <v>192210000</v>
      </c>
      <c r="F335" s="56">
        <v>3842886.725</v>
      </c>
      <c r="G335" s="56">
        <v>0</v>
      </c>
      <c r="H335" s="56">
        <v>192210000</v>
      </c>
      <c r="I335" s="56">
        <v>0</v>
      </c>
      <c r="J335" s="56">
        <v>28492296.96</v>
      </c>
      <c r="K335" s="56">
        <v>60</v>
      </c>
      <c r="M335" s="56">
        <v>1</v>
      </c>
      <c r="N335" s="56">
        <v>0</v>
      </c>
      <c r="O335" s="56">
        <v>1</v>
      </c>
      <c r="P335" s="56">
        <v>1</v>
      </c>
      <c r="Q335" s="56">
        <v>28492296.96</v>
      </c>
      <c r="R335" s="56">
        <v>192210000</v>
      </c>
      <c r="S335" s="56">
        <v>63</v>
      </c>
      <c r="T335" s="56">
        <v>28492296.96</v>
      </c>
      <c r="U335" s="56">
        <v>0</v>
      </c>
      <c r="V335" s="56">
        <v>0</v>
      </c>
      <c r="W335" s="56">
        <v>1424614.85</v>
      </c>
      <c r="X335" s="56">
        <v>192210000</v>
      </c>
      <c r="Y335" s="55" t="s">
        <v>272</v>
      </c>
    </row>
    <row r="336" spans="1:25">
      <c r="A336" s="55" t="s">
        <v>880</v>
      </c>
      <c r="B336" s="56">
        <v>106</v>
      </c>
      <c r="C336" s="56">
        <v>2</v>
      </c>
      <c r="D336" s="56">
        <v>4</v>
      </c>
      <c r="E336" s="56">
        <v>11920000</v>
      </c>
      <c r="F336" s="56">
        <v>1490870.16</v>
      </c>
      <c r="G336" s="56">
        <v>4697739</v>
      </c>
      <c r="H336" s="56">
        <v>37250000</v>
      </c>
      <c r="I336" s="56">
        <v>4362481.725199999</v>
      </c>
      <c r="J336" s="56">
        <v>17960982.7</v>
      </c>
      <c r="K336" s="56">
        <v>33.33</v>
      </c>
      <c r="L336" s="56">
        <v>1274</v>
      </c>
      <c r="M336" s="56">
        <v>5</v>
      </c>
      <c r="N336" s="56">
        <v>1419</v>
      </c>
      <c r="O336" s="56">
        <v>5</v>
      </c>
      <c r="P336" s="56">
        <v>5</v>
      </c>
      <c r="Q336" s="56">
        <v>59113452.97</v>
      </c>
      <c r="R336" s="56">
        <v>178417324.79</v>
      </c>
      <c r="S336" s="56">
        <v>85</v>
      </c>
      <c r="T336" s="56">
        <v>59113452.97</v>
      </c>
      <c r="U336" s="56">
        <v>1</v>
      </c>
      <c r="V336" s="56">
        <v>11</v>
      </c>
      <c r="W336" s="56">
        <v>5260530.86</v>
      </c>
      <c r="X336" s="56">
        <v>41947739</v>
      </c>
      <c r="Y336" s="55" t="s">
        <v>546</v>
      </c>
    </row>
    <row r="337" spans="1:25">
      <c r="A337" s="55" t="s">
        <v>881</v>
      </c>
      <c r="B337" s="56">
        <v>1</v>
      </c>
      <c r="C337" s="56">
        <v>0</v>
      </c>
      <c r="D337" s="56">
        <v>0</v>
      </c>
      <c r="E337" s="56">
        <v>172840000</v>
      </c>
      <c r="F337" s="56">
        <v>3455619.071</v>
      </c>
      <c r="G337" s="56">
        <v>0</v>
      </c>
      <c r="H337" s="56">
        <v>172840000</v>
      </c>
      <c r="I337" s="56">
        <v>0</v>
      </c>
      <c r="J337" s="56">
        <v>35648348.4</v>
      </c>
      <c r="K337" s="56">
        <v>98</v>
      </c>
      <c r="N337" s="56">
        <v>0</v>
      </c>
      <c r="O337" s="56">
        <v>1</v>
      </c>
      <c r="P337" s="56">
        <v>1</v>
      </c>
      <c r="Q337" s="56">
        <v>35648348.4</v>
      </c>
      <c r="R337" s="56">
        <v>172840000</v>
      </c>
      <c r="S337" s="56">
        <v>98</v>
      </c>
      <c r="T337" s="56">
        <v>35648348.4</v>
      </c>
      <c r="U337" s="56">
        <v>0</v>
      </c>
      <c r="V337" s="56">
        <v>0</v>
      </c>
      <c r="W337" s="56">
        <v>1782417.42</v>
      </c>
      <c r="X337" s="56">
        <v>172840000</v>
      </c>
      <c r="Y337" s="55" t="s">
        <v>272</v>
      </c>
    </row>
    <row r="338" spans="1:25">
      <c r="A338" s="55" t="s">
        <v>882</v>
      </c>
      <c r="B338" s="56">
        <v>49</v>
      </c>
      <c r="C338" s="56">
        <v>0</v>
      </c>
      <c r="D338" s="56">
        <v>0</v>
      </c>
      <c r="E338" s="56">
        <v>35760000</v>
      </c>
      <c r="F338" s="56">
        <v>967428.1467</v>
      </c>
      <c r="G338" s="56">
        <v>0</v>
      </c>
      <c r="H338" s="56">
        <v>35760000</v>
      </c>
      <c r="I338" s="56">
        <v>0</v>
      </c>
      <c r="J338" s="56">
        <v>18595703.5</v>
      </c>
      <c r="K338" s="56">
        <v>32</v>
      </c>
      <c r="M338" s="56">
        <v>1</v>
      </c>
      <c r="N338" s="56">
        <v>0</v>
      </c>
      <c r="O338" s="56">
        <v>1</v>
      </c>
      <c r="P338" s="56">
        <v>1</v>
      </c>
      <c r="Q338" s="56">
        <v>18595703.5</v>
      </c>
      <c r="R338" s="56">
        <v>37758583.19000001</v>
      </c>
      <c r="S338" s="56">
        <v>49</v>
      </c>
      <c r="T338" s="56">
        <v>18595703.5</v>
      </c>
      <c r="U338" s="56">
        <v>0</v>
      </c>
      <c r="V338" s="56">
        <v>0</v>
      </c>
      <c r="W338" s="56">
        <v>929785.1800000001</v>
      </c>
      <c r="X338" s="56">
        <v>35760000</v>
      </c>
      <c r="Y338" s="55" t="s">
        <v>272</v>
      </c>
    </row>
    <row r="339" spans="1:25">
      <c r="A339" s="55" t="s">
        <v>883</v>
      </c>
      <c r="B339" s="56">
        <v>1</v>
      </c>
      <c r="C339" s="56">
        <v>0</v>
      </c>
      <c r="D339" s="56">
        <v>0</v>
      </c>
      <c r="F339" s="56">
        <v>1553032.19</v>
      </c>
      <c r="G339" s="56">
        <v>0</v>
      </c>
      <c r="H339" s="56">
        <v>0</v>
      </c>
      <c r="I339" s="56">
        <v>0</v>
      </c>
      <c r="J339" s="56">
        <v>0</v>
      </c>
      <c r="K339" s="56">
        <v>98</v>
      </c>
      <c r="N339" s="56">
        <v>0</v>
      </c>
      <c r="O339" s="56">
        <v>1</v>
      </c>
      <c r="P339" s="56">
        <v>1</v>
      </c>
      <c r="Q339" s="56">
        <v>0</v>
      </c>
      <c r="R339" s="56">
        <v>147361000</v>
      </c>
      <c r="S339" s="56">
        <v>98</v>
      </c>
      <c r="T339" s="56">
        <v>27685909.08</v>
      </c>
      <c r="U339" s="56">
        <v>0</v>
      </c>
      <c r="V339" s="56">
        <v>0</v>
      </c>
      <c r="W339" s="56">
        <v>1553032.19</v>
      </c>
      <c r="X339" s="56">
        <v>0</v>
      </c>
      <c r="Y339" s="55" t="s">
        <v>272</v>
      </c>
    </row>
    <row r="340" spans="1:25">
      <c r="A340" s="55" t="s">
        <v>884</v>
      </c>
      <c r="B340" s="56">
        <v>5</v>
      </c>
      <c r="C340" s="56">
        <v>0</v>
      </c>
      <c r="D340" s="56">
        <v>0</v>
      </c>
      <c r="F340" s="56">
        <v>432764.5353</v>
      </c>
      <c r="G340" s="56">
        <v>309808.8</v>
      </c>
      <c r="H340" s="56">
        <v>0</v>
      </c>
      <c r="I340" s="56">
        <v>432764.5353</v>
      </c>
      <c r="J340" s="56">
        <v>0</v>
      </c>
      <c r="K340" s="56">
        <v>6</v>
      </c>
      <c r="M340" s="56">
        <v>2</v>
      </c>
      <c r="N340" s="56">
        <v>74</v>
      </c>
      <c r="O340" s="56">
        <v>2</v>
      </c>
      <c r="P340" s="56">
        <v>2</v>
      </c>
      <c r="Q340" s="56">
        <v>309808.8</v>
      </c>
      <c r="R340" s="56">
        <v>1023421.4</v>
      </c>
      <c r="S340" s="56">
        <v>11</v>
      </c>
      <c r="T340" s="56">
        <v>309808.8</v>
      </c>
      <c r="U340" s="56">
        <v>1</v>
      </c>
      <c r="V340" s="56">
        <v>0</v>
      </c>
      <c r="W340" s="56">
        <v>432764.54</v>
      </c>
      <c r="X340" s="56">
        <v>309808.8</v>
      </c>
      <c r="Y340" s="55" t="s">
        <v>272</v>
      </c>
    </row>
    <row r="341" spans="1:25">
      <c r="A341" s="55" t="s">
        <v>885</v>
      </c>
      <c r="B341" s="56">
        <v>8</v>
      </c>
      <c r="C341" s="56">
        <v>0</v>
      </c>
      <c r="D341" s="56">
        <v>0</v>
      </c>
      <c r="E341" s="56">
        <v>131418000</v>
      </c>
      <c r="F341" s="56">
        <v>4631459.252</v>
      </c>
      <c r="G341" s="56">
        <v>0</v>
      </c>
      <c r="H341" s="56">
        <v>468754000</v>
      </c>
      <c r="I341" s="56">
        <v>0</v>
      </c>
      <c r="J341" s="56">
        <v>6751235.55</v>
      </c>
      <c r="K341" s="56">
        <v>91.75</v>
      </c>
      <c r="M341" s="56">
        <v>1</v>
      </c>
      <c r="N341" s="56">
        <v>0</v>
      </c>
      <c r="O341" s="56">
        <v>1</v>
      </c>
      <c r="P341" s="56">
        <v>1</v>
      </c>
      <c r="Q341" s="56">
        <v>6751235.55</v>
      </c>
      <c r="R341" s="56">
        <v>543254000</v>
      </c>
      <c r="S341" s="56">
        <v>148</v>
      </c>
      <c r="T341" s="56">
        <v>6751235.55</v>
      </c>
      <c r="U341" s="56">
        <v>0</v>
      </c>
      <c r="V341" s="56">
        <v>0</v>
      </c>
      <c r="W341" s="56">
        <v>337561.78</v>
      </c>
      <c r="X341" s="56">
        <v>468754000</v>
      </c>
      <c r="Y341" s="55" t="s">
        <v>272</v>
      </c>
    </row>
    <row r="342" spans="1:25">
      <c r="A342" s="55" t="s">
        <v>886</v>
      </c>
      <c r="B342" s="56">
        <v>5</v>
      </c>
      <c r="C342" s="56">
        <v>0</v>
      </c>
      <c r="D342" s="56">
        <v>0</v>
      </c>
      <c r="E342" s="56">
        <v>74500000</v>
      </c>
      <c r="F342" s="56">
        <v>1576485.886</v>
      </c>
      <c r="G342" s="56">
        <v>0</v>
      </c>
      <c r="H342" s="56">
        <v>156450000</v>
      </c>
      <c r="I342" s="56">
        <v>0</v>
      </c>
      <c r="J342" s="56">
        <v>1855608</v>
      </c>
      <c r="K342" s="56">
        <v>99.67</v>
      </c>
      <c r="N342" s="56">
        <v>0</v>
      </c>
      <c r="O342" s="56">
        <v>1</v>
      </c>
      <c r="P342" s="56">
        <v>1</v>
      </c>
      <c r="Q342" s="56">
        <v>1855608</v>
      </c>
      <c r="R342" s="56">
        <v>393848644</v>
      </c>
      <c r="S342" s="56">
        <v>129</v>
      </c>
      <c r="T342" s="56">
        <v>1855608</v>
      </c>
      <c r="U342" s="56">
        <v>0</v>
      </c>
      <c r="V342" s="56">
        <v>0</v>
      </c>
      <c r="W342" s="56">
        <v>92780.39999999999</v>
      </c>
      <c r="X342" s="56">
        <v>156450000</v>
      </c>
      <c r="Y342" s="55" t="s">
        <v>272</v>
      </c>
    </row>
    <row r="343" spans="1:25">
      <c r="A343" s="55" t="s">
        <v>887</v>
      </c>
      <c r="B343" s="56">
        <v>60</v>
      </c>
      <c r="C343" s="56">
        <v>0</v>
      </c>
      <c r="D343" s="56">
        <v>0</v>
      </c>
      <c r="F343" s="56">
        <v>1297921.212</v>
      </c>
      <c r="G343" s="56">
        <v>0</v>
      </c>
      <c r="H343" s="56">
        <v>0</v>
      </c>
      <c r="I343" s="56">
        <v>1297921.212</v>
      </c>
      <c r="J343" s="56">
        <v>0</v>
      </c>
      <c r="K343" s="56">
        <v>17.5</v>
      </c>
      <c r="L343" s="56">
        <v>0</v>
      </c>
      <c r="M343" s="56">
        <v>1</v>
      </c>
      <c r="N343" s="56">
        <v>0</v>
      </c>
      <c r="O343" s="56">
        <v>1</v>
      </c>
      <c r="P343" s="56">
        <v>1</v>
      </c>
      <c r="Q343" s="56">
        <v>693.5</v>
      </c>
      <c r="R343" s="56">
        <v>32344590.71</v>
      </c>
      <c r="S343" s="56">
        <v>34</v>
      </c>
      <c r="T343" s="56">
        <v>693.5</v>
      </c>
      <c r="U343" s="56">
        <v>0</v>
      </c>
      <c r="V343" s="56">
        <v>0</v>
      </c>
      <c r="W343" s="56">
        <v>1298630.7</v>
      </c>
      <c r="X343" s="56">
        <v>0</v>
      </c>
      <c r="Y343" s="55" t="s">
        <v>272</v>
      </c>
    </row>
    <row r="344" spans="1:25">
      <c r="A344" s="55" t="s">
        <v>888</v>
      </c>
      <c r="B344" s="56">
        <v>208</v>
      </c>
      <c r="C344" s="56">
        <v>0</v>
      </c>
      <c r="D344" s="56">
        <v>3</v>
      </c>
      <c r="E344" s="56">
        <v>4470000</v>
      </c>
      <c r="F344" s="56">
        <v>564977.0196999999</v>
      </c>
      <c r="G344" s="56">
        <v>3767276.37</v>
      </c>
      <c r="H344" s="56">
        <v>4470000</v>
      </c>
      <c r="I344" s="56">
        <v>564977.0196999999</v>
      </c>
      <c r="J344" s="56">
        <v>4167167.58</v>
      </c>
      <c r="K344" s="56">
        <v>10.5</v>
      </c>
      <c r="L344" s="56">
        <v>385</v>
      </c>
      <c r="M344" s="56">
        <v>5</v>
      </c>
      <c r="N344" s="56">
        <v>385</v>
      </c>
      <c r="O344" s="56">
        <v>5</v>
      </c>
      <c r="P344" s="56">
        <v>5</v>
      </c>
      <c r="Q344" s="56">
        <v>14142302.17</v>
      </c>
      <c r="R344" s="56">
        <v>26872023.35</v>
      </c>
      <c r="S344" s="56">
        <v>30</v>
      </c>
      <c r="T344" s="56">
        <v>14142302.17</v>
      </c>
      <c r="U344" s="56">
        <v>0</v>
      </c>
      <c r="V344" s="56">
        <v>0</v>
      </c>
      <c r="W344" s="56">
        <v>773335.4</v>
      </c>
      <c r="X344" s="56">
        <v>8237276.37</v>
      </c>
      <c r="Y344" s="55" t="s">
        <v>546</v>
      </c>
    </row>
    <row r="345" spans="1:25">
      <c r="A345" s="55" t="s">
        <v>889</v>
      </c>
      <c r="B345" s="56">
        <v>5</v>
      </c>
      <c r="C345" s="56">
        <v>0</v>
      </c>
      <c r="D345" s="56">
        <v>0</v>
      </c>
      <c r="E345" s="56">
        <v>31290000</v>
      </c>
      <c r="F345" s="56">
        <v>767731.3288</v>
      </c>
      <c r="G345" s="56">
        <v>0</v>
      </c>
      <c r="H345" s="56">
        <v>31290000</v>
      </c>
      <c r="I345" s="56">
        <v>0</v>
      </c>
      <c r="J345" s="56">
        <v>270129.6</v>
      </c>
      <c r="K345" s="56">
        <v>63</v>
      </c>
      <c r="M345" s="56">
        <v>1</v>
      </c>
      <c r="N345" s="56">
        <v>0</v>
      </c>
      <c r="O345" s="56">
        <v>1</v>
      </c>
      <c r="P345" s="56">
        <v>1</v>
      </c>
      <c r="Q345" s="56">
        <v>270129.6</v>
      </c>
      <c r="R345" s="56">
        <v>47860185.7</v>
      </c>
      <c r="S345" s="56">
        <v>68</v>
      </c>
      <c r="T345" s="56">
        <v>270129.6</v>
      </c>
      <c r="U345" s="56">
        <v>0</v>
      </c>
      <c r="V345" s="56">
        <v>0</v>
      </c>
      <c r="W345" s="56">
        <v>13506.48</v>
      </c>
      <c r="X345" s="56">
        <v>31290000</v>
      </c>
      <c r="Y345" s="55" t="s">
        <v>272</v>
      </c>
    </row>
    <row r="346" spans="1:25">
      <c r="A346" s="55" t="s">
        <v>890</v>
      </c>
      <c r="B346" s="56">
        <v>19</v>
      </c>
      <c r="C346" s="56">
        <v>0</v>
      </c>
      <c r="D346" s="56">
        <v>3</v>
      </c>
      <c r="F346" s="56">
        <v>1329023.904</v>
      </c>
      <c r="G346" s="56">
        <v>0</v>
      </c>
      <c r="H346" s="56">
        <v>0</v>
      </c>
      <c r="I346" s="56">
        <v>0</v>
      </c>
      <c r="J346" s="56">
        <v>0</v>
      </c>
      <c r="K346" s="56">
        <v>10</v>
      </c>
      <c r="L346" s="56">
        <v>544</v>
      </c>
      <c r="M346" s="56">
        <v>5</v>
      </c>
      <c r="N346" s="56">
        <v>545</v>
      </c>
      <c r="O346" s="56">
        <v>5</v>
      </c>
      <c r="P346" s="56">
        <v>5</v>
      </c>
      <c r="Q346" s="56">
        <v>1069213.16</v>
      </c>
      <c r="R346" s="56">
        <v>83629788.75</v>
      </c>
      <c r="S346" s="56">
        <v>70</v>
      </c>
      <c r="T346" s="56">
        <v>16625923.91</v>
      </c>
      <c r="U346" s="56">
        <v>0</v>
      </c>
      <c r="V346" s="56">
        <v>0</v>
      </c>
      <c r="W346" s="56">
        <v>1329023.9</v>
      </c>
      <c r="X346" s="56">
        <v>0</v>
      </c>
      <c r="Y346" s="55" t="s">
        <v>546</v>
      </c>
    </row>
    <row r="347" spans="1:25">
      <c r="A347" s="55" t="s">
        <v>891</v>
      </c>
      <c r="B347" s="56">
        <v>7</v>
      </c>
      <c r="C347" s="56">
        <v>0</v>
      </c>
      <c r="D347" s="56">
        <v>0</v>
      </c>
      <c r="E347" s="56">
        <v>74500000</v>
      </c>
      <c r="F347" s="56">
        <v>1607785.235</v>
      </c>
      <c r="G347" s="56">
        <v>0</v>
      </c>
      <c r="H347" s="56">
        <v>74500000</v>
      </c>
      <c r="I347" s="56">
        <v>0</v>
      </c>
      <c r="J347" s="56">
        <v>47770545.92</v>
      </c>
      <c r="K347" s="56">
        <v>48</v>
      </c>
      <c r="M347" s="56">
        <v>2</v>
      </c>
      <c r="N347" s="56">
        <v>0</v>
      </c>
      <c r="O347" s="56">
        <v>1</v>
      </c>
      <c r="P347" s="56">
        <v>2</v>
      </c>
      <c r="Q347" s="56">
        <v>47770545.92</v>
      </c>
      <c r="R347" s="56">
        <v>211343948.24</v>
      </c>
      <c r="S347" s="56">
        <v>105</v>
      </c>
      <c r="T347" s="56">
        <v>47770545.92</v>
      </c>
      <c r="U347" s="56">
        <v>0</v>
      </c>
      <c r="V347" s="56">
        <v>0</v>
      </c>
      <c r="W347" s="56">
        <v>2388527.3</v>
      </c>
      <c r="X347" s="56">
        <v>74500000</v>
      </c>
      <c r="Y347" s="55" t="s">
        <v>272</v>
      </c>
    </row>
    <row r="348" spans="1:25">
      <c r="A348" s="55" t="s">
        <v>892</v>
      </c>
      <c r="B348" s="56">
        <v>5</v>
      </c>
      <c r="C348" s="56">
        <v>0</v>
      </c>
      <c r="D348" s="56">
        <v>0</v>
      </c>
      <c r="E348" s="56">
        <v>68540000</v>
      </c>
      <c r="F348" s="56">
        <v>1256745.561</v>
      </c>
      <c r="G348" s="56">
        <v>0</v>
      </c>
      <c r="H348" s="56">
        <v>150490000</v>
      </c>
      <c r="I348" s="56">
        <v>0</v>
      </c>
      <c r="J348" s="56">
        <v>82001640.45</v>
      </c>
      <c r="K348" s="56">
        <v>101.75</v>
      </c>
      <c r="L348" s="56">
        <v>0</v>
      </c>
      <c r="M348" s="56">
        <v>1</v>
      </c>
      <c r="N348" s="56">
        <v>37</v>
      </c>
      <c r="O348" s="56">
        <v>2</v>
      </c>
      <c r="P348" s="56">
        <v>2</v>
      </c>
      <c r="Q348" s="56">
        <v>82001640.45</v>
      </c>
      <c r="R348" s="56">
        <v>150490000</v>
      </c>
      <c r="S348" s="56">
        <v>141</v>
      </c>
      <c r="T348" s="56">
        <v>82001640.45</v>
      </c>
      <c r="U348" s="56">
        <v>1</v>
      </c>
      <c r="V348" s="56">
        <v>0</v>
      </c>
      <c r="W348" s="56">
        <v>4100082.02</v>
      </c>
      <c r="X348" s="56">
        <v>150490000</v>
      </c>
      <c r="Y348" s="55" t="s">
        <v>272</v>
      </c>
    </row>
    <row r="349" spans="1:25">
      <c r="A349" s="55" t="s">
        <v>893</v>
      </c>
      <c r="B349" s="56">
        <v>2</v>
      </c>
      <c r="C349" s="56">
        <v>0</v>
      </c>
      <c r="D349" s="56">
        <v>0</v>
      </c>
      <c r="E349" s="56">
        <v>19370000</v>
      </c>
      <c r="F349" s="56">
        <v>524023.5794</v>
      </c>
      <c r="G349" s="56">
        <v>0</v>
      </c>
      <c r="H349" s="56">
        <v>19370000</v>
      </c>
      <c r="I349" s="56">
        <v>0</v>
      </c>
      <c r="J349" s="56">
        <v>11598580.38</v>
      </c>
      <c r="K349" s="56">
        <v>48</v>
      </c>
      <c r="L349" s="56">
        <v>0</v>
      </c>
      <c r="M349" s="56">
        <v>1</v>
      </c>
      <c r="N349" s="56">
        <v>0</v>
      </c>
      <c r="O349" s="56">
        <v>1</v>
      </c>
      <c r="P349" s="56">
        <v>1</v>
      </c>
      <c r="Q349" s="56">
        <v>11598580.38</v>
      </c>
      <c r="R349" s="56">
        <v>19370000</v>
      </c>
      <c r="S349" s="56">
        <v>48</v>
      </c>
      <c r="T349" s="56">
        <v>11598580.38</v>
      </c>
      <c r="U349" s="56">
        <v>0</v>
      </c>
      <c r="V349" s="56">
        <v>0</v>
      </c>
      <c r="W349" s="56">
        <v>579929.02</v>
      </c>
      <c r="X349" s="56">
        <v>19370000</v>
      </c>
      <c r="Y349" s="55" t="s">
        <v>272</v>
      </c>
    </row>
    <row r="350" spans="1:25">
      <c r="A350" s="55" t="s">
        <v>894</v>
      </c>
      <c r="B350" s="56">
        <v>10</v>
      </c>
      <c r="C350" s="56">
        <v>0</v>
      </c>
      <c r="D350" s="56">
        <v>0</v>
      </c>
      <c r="E350" s="56">
        <v>149000000</v>
      </c>
      <c r="F350" s="56">
        <v>3957279.442</v>
      </c>
      <c r="G350" s="56">
        <v>0</v>
      </c>
      <c r="H350" s="56">
        <v>311410000</v>
      </c>
      <c r="I350" s="56">
        <v>0</v>
      </c>
      <c r="J350" s="56">
        <v>39487941.18</v>
      </c>
      <c r="K350" s="56">
        <v>113.25</v>
      </c>
      <c r="L350" s="56">
        <v>0</v>
      </c>
      <c r="M350" s="56">
        <v>1</v>
      </c>
      <c r="N350" s="56">
        <v>0</v>
      </c>
      <c r="O350" s="56">
        <v>1</v>
      </c>
      <c r="P350" s="56">
        <v>1</v>
      </c>
      <c r="Q350" s="56">
        <v>39487941.18</v>
      </c>
      <c r="R350" s="56">
        <v>579610000</v>
      </c>
      <c r="S350" s="56">
        <v>185</v>
      </c>
      <c r="T350" s="56">
        <v>39487941.18</v>
      </c>
      <c r="U350" s="56">
        <v>0</v>
      </c>
      <c r="V350" s="56">
        <v>0</v>
      </c>
      <c r="W350" s="56">
        <v>1974397.06</v>
      </c>
      <c r="X350" s="56">
        <v>311410000</v>
      </c>
      <c r="Y350" s="55" t="s">
        <v>272</v>
      </c>
    </row>
    <row r="351" spans="1:25">
      <c r="A351" s="55" t="s">
        <v>895</v>
      </c>
      <c r="B351" s="56">
        <v>3</v>
      </c>
      <c r="C351" s="56">
        <v>0</v>
      </c>
      <c r="D351" s="56">
        <v>0</v>
      </c>
      <c r="E351" s="56">
        <v>14900000</v>
      </c>
      <c r="F351" s="56">
        <v>322476.0489</v>
      </c>
      <c r="G351" s="56">
        <v>0</v>
      </c>
      <c r="H351" s="56">
        <v>26820000</v>
      </c>
      <c r="I351" s="56">
        <v>0</v>
      </c>
      <c r="J351" s="56">
        <v>6287821.36</v>
      </c>
      <c r="K351" s="56">
        <v>32</v>
      </c>
      <c r="M351" s="56">
        <v>1</v>
      </c>
      <c r="N351" s="56">
        <v>0</v>
      </c>
      <c r="O351" s="56">
        <v>1</v>
      </c>
      <c r="P351" s="56">
        <v>1</v>
      </c>
      <c r="Q351" s="56">
        <v>6287821.36</v>
      </c>
      <c r="R351" s="56">
        <v>26820000</v>
      </c>
      <c r="S351" s="56">
        <v>47</v>
      </c>
      <c r="T351" s="56">
        <v>6287821.36</v>
      </c>
      <c r="U351" s="56">
        <v>0</v>
      </c>
      <c r="V351" s="56">
        <v>0</v>
      </c>
      <c r="W351" s="56">
        <v>314391.07</v>
      </c>
      <c r="X351" s="56">
        <v>26820000</v>
      </c>
      <c r="Y351" s="55" t="s">
        <v>272</v>
      </c>
    </row>
    <row r="352" spans="1:25">
      <c r="A352" s="55" t="s">
        <v>896</v>
      </c>
      <c r="B352" s="56">
        <v>70</v>
      </c>
      <c r="C352" s="56">
        <v>0</v>
      </c>
      <c r="D352" s="56">
        <v>0</v>
      </c>
      <c r="E352" s="56">
        <v>32780000</v>
      </c>
      <c r="F352" s="56">
        <v>3777463.924</v>
      </c>
      <c r="G352" s="56">
        <v>36591208.06</v>
      </c>
      <c r="H352" s="56">
        <v>32780000</v>
      </c>
      <c r="I352" s="56">
        <v>3850883.74858</v>
      </c>
      <c r="J352" s="56">
        <v>31047969.96</v>
      </c>
      <c r="K352" s="56">
        <v>10.42</v>
      </c>
      <c r="L352" s="56">
        <v>6</v>
      </c>
      <c r="M352" s="56">
        <v>1</v>
      </c>
      <c r="N352" s="56">
        <v>0</v>
      </c>
      <c r="O352" s="56">
        <v>1</v>
      </c>
      <c r="P352" s="56">
        <v>1</v>
      </c>
      <c r="Q352" s="56">
        <v>67639178.02</v>
      </c>
      <c r="R352" s="56">
        <v>190105558.27</v>
      </c>
      <c r="S352" s="56">
        <v>46</v>
      </c>
      <c r="T352" s="56">
        <v>136378814.86</v>
      </c>
      <c r="U352" s="56">
        <v>0</v>
      </c>
      <c r="V352" s="56">
        <v>0</v>
      </c>
      <c r="W352" s="56">
        <v>9180746.17</v>
      </c>
      <c r="X352" s="56">
        <v>69371208.06</v>
      </c>
      <c r="Y352" s="55" t="s">
        <v>272</v>
      </c>
    </row>
    <row r="353" spans="1:25">
      <c r="A353" s="55" t="s">
        <v>897</v>
      </c>
      <c r="B353" s="56">
        <v>7</v>
      </c>
      <c r="C353" s="56">
        <v>0</v>
      </c>
      <c r="D353" s="56">
        <v>0</v>
      </c>
      <c r="E353" s="56">
        <v>9733582.939999999</v>
      </c>
      <c r="F353" s="56">
        <v>7157321.613</v>
      </c>
      <c r="G353" s="56">
        <v>0</v>
      </c>
      <c r="H353" s="56">
        <v>9733582.939999999</v>
      </c>
      <c r="I353" s="56">
        <v>0</v>
      </c>
      <c r="J353" s="56">
        <v>7080922.39</v>
      </c>
      <c r="K353" s="56">
        <v>33</v>
      </c>
      <c r="M353" s="56">
        <v>1</v>
      </c>
      <c r="N353" s="56">
        <v>0</v>
      </c>
      <c r="O353" s="56">
        <v>1</v>
      </c>
      <c r="P353" s="56">
        <v>1</v>
      </c>
      <c r="Q353" s="56">
        <v>7080922.39</v>
      </c>
      <c r="R353" s="56">
        <v>1021733274.68</v>
      </c>
      <c r="S353" s="56">
        <v>75</v>
      </c>
      <c r="T353" s="56">
        <v>353172768.89</v>
      </c>
      <c r="U353" s="56">
        <v>0</v>
      </c>
      <c r="V353" s="56">
        <v>0</v>
      </c>
      <c r="W353" s="56">
        <v>7511367.73</v>
      </c>
      <c r="X353" s="56">
        <v>9733582.939999999</v>
      </c>
      <c r="Y353" s="55" t="s">
        <v>272</v>
      </c>
    </row>
    <row r="354" spans="1:25">
      <c r="A354" s="55" t="s">
        <v>898</v>
      </c>
      <c r="B354" s="56">
        <v>1</v>
      </c>
      <c r="C354" s="56">
        <v>0</v>
      </c>
      <c r="D354" s="56">
        <v>0</v>
      </c>
      <c r="F354" s="56">
        <v>1912588.16</v>
      </c>
      <c r="G354" s="56">
        <v>0</v>
      </c>
      <c r="H354" s="56">
        <v>0</v>
      </c>
      <c r="I354" s="56">
        <v>0</v>
      </c>
      <c r="J354" s="56">
        <v>0</v>
      </c>
      <c r="K354" s="56">
        <v>5</v>
      </c>
      <c r="N354" s="56">
        <v>0</v>
      </c>
      <c r="O354" s="56">
        <v>1</v>
      </c>
      <c r="P354" s="56">
        <v>1</v>
      </c>
      <c r="Q354" s="56">
        <v>0</v>
      </c>
      <c r="R354" s="56">
        <v>241856800</v>
      </c>
      <c r="S354" s="56">
        <v>5</v>
      </c>
      <c r="T354" s="56">
        <v>220541295.5</v>
      </c>
      <c r="U354" s="56">
        <v>0</v>
      </c>
      <c r="V354" s="56">
        <v>0</v>
      </c>
      <c r="W354" s="56">
        <v>1912588.16</v>
      </c>
      <c r="X354" s="56">
        <v>0</v>
      </c>
      <c r="Y354" s="55" t="s">
        <v>272</v>
      </c>
    </row>
    <row r="355" spans="1:25">
      <c r="A355" s="55" t="s">
        <v>899</v>
      </c>
      <c r="B355" s="56">
        <v>1</v>
      </c>
      <c r="C355" s="56">
        <v>0</v>
      </c>
      <c r="D355" s="56">
        <v>0</v>
      </c>
      <c r="E355" s="56">
        <v>38740000</v>
      </c>
      <c r="F355" s="56">
        <v>394922.8235</v>
      </c>
      <c r="G355" s="56">
        <v>0</v>
      </c>
      <c r="H355" s="56">
        <v>38740000</v>
      </c>
      <c r="I355" s="56">
        <v>0</v>
      </c>
      <c r="J355" s="56">
        <v>13296644.22</v>
      </c>
      <c r="K355" s="56">
        <v>52</v>
      </c>
      <c r="N355" s="56">
        <v>0</v>
      </c>
      <c r="O355" s="56">
        <v>1</v>
      </c>
      <c r="P355" s="56">
        <v>1</v>
      </c>
      <c r="Q355" s="56">
        <v>13296644.22</v>
      </c>
      <c r="R355" s="56">
        <v>38740000</v>
      </c>
      <c r="S355" s="56">
        <v>52</v>
      </c>
      <c r="T355" s="56">
        <v>13296644.22</v>
      </c>
      <c r="U355" s="56">
        <v>0</v>
      </c>
      <c r="V355" s="56">
        <v>0</v>
      </c>
      <c r="W355" s="56">
        <v>664832.21</v>
      </c>
      <c r="X355" s="56">
        <v>38740000</v>
      </c>
      <c r="Y355" s="55" t="s">
        <v>272</v>
      </c>
    </row>
    <row r="356" spans="1:25">
      <c r="A356" s="55" t="s">
        <v>900</v>
      </c>
      <c r="B356" s="56">
        <v>27</v>
      </c>
      <c r="C356" s="56">
        <v>0</v>
      </c>
      <c r="D356" s="56">
        <v>0</v>
      </c>
      <c r="E356" s="56">
        <v>86420000</v>
      </c>
      <c r="F356" s="56">
        <v>9526902.501</v>
      </c>
      <c r="G356" s="56">
        <v>8945328.630000001</v>
      </c>
      <c r="H356" s="56">
        <v>131120000</v>
      </c>
      <c r="I356" s="56">
        <v>1361498.43976</v>
      </c>
      <c r="J356" s="56">
        <v>18142717.73</v>
      </c>
      <c r="K356" s="56">
        <v>13.22</v>
      </c>
      <c r="L356" s="56">
        <v>0</v>
      </c>
      <c r="M356" s="56">
        <v>1</v>
      </c>
      <c r="N356" s="56">
        <v>0</v>
      </c>
      <c r="O356" s="56">
        <v>1</v>
      </c>
      <c r="P356" s="56">
        <v>1</v>
      </c>
      <c r="Q356" s="56">
        <v>28957871.36</v>
      </c>
      <c r="R356" s="56">
        <v>2085811357.44</v>
      </c>
      <c r="S356" s="56">
        <v>85</v>
      </c>
      <c r="T356" s="56">
        <v>1099067230.76</v>
      </c>
      <c r="U356" s="56">
        <v>0</v>
      </c>
      <c r="V356" s="56">
        <v>0</v>
      </c>
      <c r="W356" s="56">
        <v>20105284.66</v>
      </c>
      <c r="X356" s="56">
        <v>140065328.63</v>
      </c>
      <c r="Y356" s="55" t="s">
        <v>272</v>
      </c>
    </row>
    <row r="357" spans="1:25">
      <c r="A357" s="55" t="s">
        <v>901</v>
      </c>
      <c r="B357" s="56">
        <v>6</v>
      </c>
      <c r="C357" s="56">
        <v>0</v>
      </c>
      <c r="D357" s="56">
        <v>0</v>
      </c>
      <c r="E357" s="56">
        <v>369222000</v>
      </c>
      <c r="F357" s="56">
        <v>7040329.319</v>
      </c>
      <c r="G357" s="56">
        <v>0</v>
      </c>
      <c r="H357" s="56">
        <v>369222000</v>
      </c>
      <c r="I357" s="56">
        <v>0</v>
      </c>
      <c r="J357" s="56">
        <v>19059959.87</v>
      </c>
      <c r="K357" s="56">
        <v>142</v>
      </c>
      <c r="L357" s="56">
        <v>0</v>
      </c>
      <c r="M357" s="56">
        <v>1</v>
      </c>
      <c r="N357" s="56">
        <v>0</v>
      </c>
      <c r="O357" s="56">
        <v>1</v>
      </c>
      <c r="P357" s="56">
        <v>1</v>
      </c>
      <c r="Q357" s="56">
        <v>19059959.87</v>
      </c>
      <c r="R357" s="56">
        <v>408680224.7</v>
      </c>
      <c r="S357" s="56">
        <v>142</v>
      </c>
      <c r="T357" s="56">
        <v>19059959.87</v>
      </c>
      <c r="U357" s="56">
        <v>0</v>
      </c>
      <c r="V357" s="56">
        <v>0</v>
      </c>
      <c r="W357" s="56">
        <v>952997.99</v>
      </c>
      <c r="X357" s="56">
        <v>369222000</v>
      </c>
      <c r="Y357" s="55" t="s">
        <v>272</v>
      </c>
    </row>
    <row r="358" spans="1:25">
      <c r="A358" s="55" t="s">
        <v>902</v>
      </c>
      <c r="B358" s="56">
        <v>12</v>
      </c>
      <c r="C358" s="56">
        <v>0</v>
      </c>
      <c r="D358" s="56">
        <v>0</v>
      </c>
      <c r="F358" s="56">
        <v>45402601.26</v>
      </c>
      <c r="G358" s="56">
        <v>0</v>
      </c>
      <c r="H358" s="56">
        <v>0</v>
      </c>
      <c r="I358" s="56">
        <v>0</v>
      </c>
      <c r="J358" s="56">
        <v>0</v>
      </c>
      <c r="K358" s="56">
        <v>14.2</v>
      </c>
      <c r="L358" s="56">
        <v>0</v>
      </c>
      <c r="M358" s="56">
        <v>1</v>
      </c>
      <c r="N358" s="56">
        <v>0</v>
      </c>
      <c r="O358" s="56">
        <v>1</v>
      </c>
      <c r="P358" s="56">
        <v>1</v>
      </c>
      <c r="Q358" s="56">
        <v>0</v>
      </c>
      <c r="R358" s="56">
        <v>6694308354.07</v>
      </c>
      <c r="S358" s="56">
        <v>248</v>
      </c>
      <c r="T358" s="56">
        <v>2716468885.83</v>
      </c>
      <c r="U358" s="56">
        <v>0</v>
      </c>
      <c r="V358" s="56">
        <v>0</v>
      </c>
      <c r="W358" s="56">
        <v>57541132.19</v>
      </c>
      <c r="X358" s="56">
        <v>0</v>
      </c>
      <c r="Y358" s="55" t="s">
        <v>272</v>
      </c>
    </row>
    <row r="359" spans="1:25">
      <c r="A359" s="55" t="s">
        <v>903</v>
      </c>
      <c r="B359" s="56">
        <v>32</v>
      </c>
      <c r="C359" s="56">
        <v>0</v>
      </c>
      <c r="D359" s="56">
        <v>0</v>
      </c>
      <c r="E359" s="56">
        <v>242870000</v>
      </c>
      <c r="F359" s="56">
        <v>6570449.496</v>
      </c>
      <c r="G359" s="56">
        <v>164885.28</v>
      </c>
      <c r="H359" s="56">
        <v>360580000</v>
      </c>
      <c r="I359" s="56">
        <v>223604.928913</v>
      </c>
      <c r="J359" s="56">
        <v>48072576.27999999</v>
      </c>
      <c r="K359" s="56">
        <v>69.5</v>
      </c>
      <c r="L359" s="56">
        <v>29</v>
      </c>
      <c r="M359" s="56">
        <v>1</v>
      </c>
      <c r="N359" s="56">
        <v>29</v>
      </c>
      <c r="O359" s="56">
        <v>2</v>
      </c>
      <c r="P359" s="56">
        <v>2</v>
      </c>
      <c r="Q359" s="56">
        <v>48237461.55999999</v>
      </c>
      <c r="R359" s="56">
        <v>414957511.26</v>
      </c>
      <c r="S359" s="56">
        <v>116</v>
      </c>
      <c r="T359" s="56">
        <v>48237461.55999999</v>
      </c>
      <c r="U359" s="56">
        <v>1</v>
      </c>
      <c r="V359" s="56">
        <v>0</v>
      </c>
      <c r="W359" s="56">
        <v>2627233.74</v>
      </c>
      <c r="X359" s="56">
        <v>360744885.28</v>
      </c>
      <c r="Y359" s="55" t="s">
        <v>272</v>
      </c>
    </row>
    <row r="360" spans="1:25">
      <c r="A360" s="55" t="s">
        <v>904</v>
      </c>
      <c r="B360" s="56">
        <v>51</v>
      </c>
      <c r="C360" s="56">
        <v>0</v>
      </c>
      <c r="D360" s="56">
        <v>0</v>
      </c>
      <c r="F360" s="56">
        <v>1991417.718</v>
      </c>
      <c r="G360" s="56">
        <v>4650649.79</v>
      </c>
      <c r="H360" s="56">
        <v>0</v>
      </c>
      <c r="I360" s="56">
        <v>4091389.331181001</v>
      </c>
      <c r="J360" s="56">
        <v>0</v>
      </c>
      <c r="K360" s="56">
        <v>2.29</v>
      </c>
      <c r="L360" s="56">
        <v>0</v>
      </c>
      <c r="M360" s="56">
        <v>1</v>
      </c>
      <c r="N360" s="56">
        <v>0</v>
      </c>
      <c r="O360" s="56">
        <v>1</v>
      </c>
      <c r="P360" s="56">
        <v>1</v>
      </c>
      <c r="Q360" s="56">
        <v>4650649.79</v>
      </c>
      <c r="R360" s="56">
        <v>12144416.35</v>
      </c>
      <c r="S360" s="56">
        <v>81</v>
      </c>
      <c r="T360" s="56">
        <v>4650649.79</v>
      </c>
      <c r="U360" s="56">
        <v>0</v>
      </c>
      <c r="V360" s="56">
        <v>0</v>
      </c>
      <c r="W360" s="56">
        <v>4091389.33</v>
      </c>
      <c r="X360" s="56">
        <v>4650649.79</v>
      </c>
      <c r="Y360" s="55" t="s">
        <v>272</v>
      </c>
    </row>
    <row r="361" spans="1:25">
      <c r="A361" s="55" t="s">
        <v>905</v>
      </c>
      <c r="B361" s="56">
        <v>74</v>
      </c>
      <c r="C361" s="56">
        <v>0</v>
      </c>
      <c r="D361" s="56">
        <v>0</v>
      </c>
      <c r="E361" s="56">
        <v>7154086</v>
      </c>
      <c r="F361" s="56">
        <v>1728958.162</v>
      </c>
      <c r="G361" s="56">
        <v>10983438.56</v>
      </c>
      <c r="H361" s="56">
        <v>8942086</v>
      </c>
      <c r="I361" s="56">
        <v>5662874.28425</v>
      </c>
      <c r="J361" s="56">
        <v>6245391.66</v>
      </c>
      <c r="K361" s="56">
        <v>4.15</v>
      </c>
      <c r="L361" s="56">
        <v>33</v>
      </c>
      <c r="M361" s="56">
        <v>5</v>
      </c>
      <c r="N361" s="56">
        <v>36</v>
      </c>
      <c r="O361" s="56">
        <v>2</v>
      </c>
      <c r="P361" s="56">
        <v>2</v>
      </c>
      <c r="Q361" s="56">
        <v>17228830.22</v>
      </c>
      <c r="R361" s="56">
        <v>33709919.42999999</v>
      </c>
      <c r="S361" s="56">
        <v>83</v>
      </c>
      <c r="T361" s="56">
        <v>17228830.22</v>
      </c>
      <c r="U361" s="56">
        <v>8</v>
      </c>
      <c r="V361" s="56">
        <v>0</v>
      </c>
      <c r="W361" s="56">
        <v>5975143.87</v>
      </c>
      <c r="X361" s="56">
        <v>19925524.56</v>
      </c>
      <c r="Y361" s="55" t="s">
        <v>272</v>
      </c>
    </row>
    <row r="362" spans="1:25">
      <c r="A362" s="55" t="s">
        <v>906</v>
      </c>
      <c r="B362" s="56">
        <v>33</v>
      </c>
      <c r="C362" s="56">
        <v>0</v>
      </c>
      <c r="D362" s="56">
        <v>0</v>
      </c>
      <c r="E362" s="56">
        <v>22350000</v>
      </c>
      <c r="F362" s="56">
        <v>1850854.664</v>
      </c>
      <c r="G362" s="56">
        <v>29150703.96</v>
      </c>
      <c r="H362" s="56">
        <v>29800000</v>
      </c>
      <c r="I362" s="56">
        <v>3496961.38867</v>
      </c>
      <c r="J362" s="56">
        <v>27291524.16</v>
      </c>
      <c r="K362" s="56">
        <v>19.4</v>
      </c>
      <c r="L362" s="56">
        <v>0</v>
      </c>
      <c r="M362" s="56">
        <v>1</v>
      </c>
      <c r="N362" s="56">
        <v>0</v>
      </c>
      <c r="O362" s="56">
        <v>1</v>
      </c>
      <c r="P362" s="56">
        <v>1</v>
      </c>
      <c r="Q362" s="56">
        <v>56442228.12</v>
      </c>
      <c r="R362" s="56">
        <v>111880686.41</v>
      </c>
      <c r="S362" s="56">
        <v>109</v>
      </c>
      <c r="T362" s="56">
        <v>56442228.12</v>
      </c>
      <c r="U362" s="56">
        <v>0</v>
      </c>
      <c r="V362" s="56">
        <v>0</v>
      </c>
      <c r="W362" s="56">
        <v>4861537.6</v>
      </c>
      <c r="X362" s="56">
        <v>58950703.96</v>
      </c>
      <c r="Y362" s="55" t="s">
        <v>272</v>
      </c>
    </row>
    <row r="363" spans="1:25">
      <c r="A363" s="55" t="s">
        <v>907</v>
      </c>
      <c r="B363" s="56">
        <v>7</v>
      </c>
      <c r="C363" s="56">
        <v>0</v>
      </c>
      <c r="D363" s="56">
        <v>2</v>
      </c>
      <c r="E363" s="56">
        <v>281610000</v>
      </c>
      <c r="F363" s="56">
        <v>5315280.254</v>
      </c>
      <c r="G363" s="56">
        <v>0</v>
      </c>
      <c r="H363" s="56">
        <v>281610000</v>
      </c>
      <c r="I363" s="56">
        <v>0</v>
      </c>
      <c r="J363" s="56">
        <v>20526089</v>
      </c>
      <c r="K363" s="56">
        <v>105</v>
      </c>
      <c r="M363" s="56">
        <v>1</v>
      </c>
      <c r="N363" s="56">
        <v>268</v>
      </c>
      <c r="O363" s="56">
        <v>5</v>
      </c>
      <c r="P363" s="56">
        <v>5</v>
      </c>
      <c r="Q363" s="56">
        <v>20526259.24</v>
      </c>
      <c r="R363" s="56">
        <v>698810000</v>
      </c>
      <c r="S363" s="56">
        <v>105</v>
      </c>
      <c r="T363" s="56">
        <v>20526259.24</v>
      </c>
      <c r="U363" s="56">
        <v>0</v>
      </c>
      <c r="V363" s="56">
        <v>0</v>
      </c>
      <c r="W363" s="56">
        <v>1026304.45</v>
      </c>
      <c r="X363" s="56">
        <v>281610000</v>
      </c>
      <c r="Y363" s="55" t="s">
        <v>546</v>
      </c>
    </row>
    <row r="364" spans="1:25">
      <c r="A364" s="55" t="s">
        <v>908</v>
      </c>
      <c r="B364" s="56">
        <v>122</v>
      </c>
      <c r="C364" s="56">
        <v>0</v>
      </c>
      <c r="D364" s="56">
        <v>1</v>
      </c>
      <c r="F364" s="56">
        <v>871631.9864000001</v>
      </c>
      <c r="G364" s="56">
        <v>0</v>
      </c>
      <c r="H364" s="56">
        <v>0</v>
      </c>
      <c r="I364" s="56">
        <v>0</v>
      </c>
      <c r="J364" s="56">
        <v>0</v>
      </c>
      <c r="K364" s="56">
        <v>18</v>
      </c>
      <c r="L364" s="56">
        <v>909</v>
      </c>
      <c r="M364" s="56">
        <v>5</v>
      </c>
      <c r="N364" s="56">
        <v>909</v>
      </c>
      <c r="O364" s="56">
        <v>5</v>
      </c>
      <c r="P364" s="56">
        <v>5</v>
      </c>
      <c r="Q364" s="56">
        <v>13060620.31</v>
      </c>
      <c r="R364" s="56">
        <v>62438618.37</v>
      </c>
      <c r="S364" s="56">
        <v>85</v>
      </c>
      <c r="T364" s="56">
        <v>17958403.15</v>
      </c>
      <c r="U364" s="56">
        <v>0</v>
      </c>
      <c r="V364" s="56">
        <v>0</v>
      </c>
      <c r="W364" s="56">
        <v>871631.99</v>
      </c>
      <c r="X364" s="56">
        <v>0</v>
      </c>
      <c r="Y364" s="55" t="s">
        <v>546</v>
      </c>
    </row>
    <row r="365" spans="1:25">
      <c r="A365" s="55" t="s">
        <v>909</v>
      </c>
      <c r="B365" s="56">
        <v>2</v>
      </c>
      <c r="C365" s="56">
        <v>0</v>
      </c>
      <c r="D365" s="56">
        <v>0</v>
      </c>
      <c r="F365" s="56">
        <v>1733264.793</v>
      </c>
      <c r="G365" s="56">
        <v>0</v>
      </c>
      <c r="H365" s="56">
        <v>0</v>
      </c>
      <c r="I365" s="56">
        <v>0</v>
      </c>
      <c r="J365" s="56">
        <v>0</v>
      </c>
      <c r="K365" s="56">
        <v>5</v>
      </c>
      <c r="L365" s="56">
        <v>0</v>
      </c>
      <c r="N365" s="56">
        <v>0</v>
      </c>
      <c r="O365" s="56">
        <v>1</v>
      </c>
      <c r="P365" s="56">
        <v>1</v>
      </c>
      <c r="Q365" s="56">
        <v>0</v>
      </c>
      <c r="R365" s="56">
        <v>33375366.75</v>
      </c>
      <c r="S365" s="56">
        <v>5</v>
      </c>
      <c r="T365" s="56">
        <v>32748178.51</v>
      </c>
      <c r="U365" s="56">
        <v>0</v>
      </c>
      <c r="V365" s="56">
        <v>0</v>
      </c>
      <c r="W365" s="56">
        <v>1957813.26</v>
      </c>
      <c r="X365" s="56">
        <v>0</v>
      </c>
      <c r="Y365" s="55" t="s">
        <v>272</v>
      </c>
    </row>
    <row r="366" spans="1:25">
      <c r="A366" s="55" t="s">
        <v>910</v>
      </c>
      <c r="B366" s="56">
        <v>16</v>
      </c>
      <c r="C366" s="56">
        <v>0</v>
      </c>
      <c r="D366" s="56">
        <v>0</v>
      </c>
      <c r="F366" s="56">
        <v>6715927.63</v>
      </c>
      <c r="G366" s="56">
        <v>0</v>
      </c>
      <c r="H366" s="56">
        <v>0</v>
      </c>
      <c r="I366" s="56">
        <v>0</v>
      </c>
      <c r="J366" s="56">
        <v>0</v>
      </c>
      <c r="K366" s="56">
        <v>72</v>
      </c>
      <c r="L366" s="56">
        <v>0</v>
      </c>
      <c r="M366" s="56">
        <v>1</v>
      </c>
      <c r="N366" s="56">
        <v>0</v>
      </c>
      <c r="O366" s="56">
        <v>1</v>
      </c>
      <c r="P366" s="56">
        <v>1</v>
      </c>
      <c r="Q366" s="56">
        <v>0</v>
      </c>
      <c r="R366" s="56">
        <v>900680266</v>
      </c>
      <c r="S366" s="56">
        <v>149</v>
      </c>
      <c r="T366" s="56">
        <v>241634389.7</v>
      </c>
      <c r="U366" s="56">
        <v>0</v>
      </c>
      <c r="V366" s="56">
        <v>0</v>
      </c>
      <c r="W366" s="56">
        <v>6715927.63</v>
      </c>
      <c r="X366" s="56">
        <v>0</v>
      </c>
      <c r="Y366" s="55" t="s">
        <v>272</v>
      </c>
    </row>
    <row r="367" spans="1:25">
      <c r="A367" s="55" t="s">
        <v>911</v>
      </c>
      <c r="B367" s="56">
        <v>37</v>
      </c>
      <c r="C367" s="56">
        <v>0</v>
      </c>
      <c r="D367" s="56">
        <v>0</v>
      </c>
      <c r="F367" s="56">
        <v>653604.3588</v>
      </c>
      <c r="G367" s="56">
        <v>2643396</v>
      </c>
      <c r="H367" s="56">
        <v>0</v>
      </c>
      <c r="I367" s="56">
        <v>1210279.308474</v>
      </c>
      <c r="J367" s="56">
        <v>0</v>
      </c>
      <c r="K367" s="56">
        <v>1.75</v>
      </c>
      <c r="L367" s="56">
        <v>0</v>
      </c>
      <c r="M367" s="56">
        <v>1</v>
      </c>
      <c r="N367" s="56">
        <v>0</v>
      </c>
      <c r="O367" s="56">
        <v>1</v>
      </c>
      <c r="P367" s="56">
        <v>1</v>
      </c>
      <c r="Q367" s="56">
        <v>2643396</v>
      </c>
      <c r="R367" s="56">
        <v>9183772.939999999</v>
      </c>
      <c r="S367" s="56">
        <v>63</v>
      </c>
      <c r="T367" s="56">
        <v>2643396</v>
      </c>
      <c r="U367" s="56">
        <v>0</v>
      </c>
      <c r="V367" s="56">
        <v>0</v>
      </c>
      <c r="W367" s="56">
        <v>1210279.31</v>
      </c>
      <c r="X367" s="56">
        <v>2643396</v>
      </c>
      <c r="Y367" s="55" t="s">
        <v>272</v>
      </c>
    </row>
    <row r="368" spans="1:25">
      <c r="A368" s="55" t="s">
        <v>912</v>
      </c>
      <c r="B368" s="56">
        <v>27</v>
      </c>
      <c r="C368" s="56">
        <v>0</v>
      </c>
      <c r="D368" s="56">
        <v>2</v>
      </c>
      <c r="G368" s="56">
        <v>0</v>
      </c>
      <c r="H368" s="56">
        <v>0</v>
      </c>
      <c r="I368" s="56">
        <v>0</v>
      </c>
      <c r="J368" s="56">
        <v>0</v>
      </c>
      <c r="L368" s="56">
        <v>179</v>
      </c>
      <c r="M368" s="56">
        <v>2</v>
      </c>
      <c r="N368" s="56">
        <v>179</v>
      </c>
      <c r="O368" s="56">
        <v>5</v>
      </c>
      <c r="P368" s="56">
        <v>5</v>
      </c>
      <c r="Q368" s="56">
        <v>2133259.42</v>
      </c>
      <c r="R368" s="56">
        <v>218741379.59</v>
      </c>
      <c r="S368" s="56">
        <v>123</v>
      </c>
      <c r="T368" s="56">
        <v>2133259.42</v>
      </c>
      <c r="U368" s="56">
        <v>0</v>
      </c>
      <c r="V368" s="56">
        <v>0</v>
      </c>
      <c r="W368" s="56">
        <v>0</v>
      </c>
      <c r="X368" s="56">
        <v>0</v>
      </c>
      <c r="Y368" s="55" t="s">
        <v>546</v>
      </c>
    </row>
    <row r="369" spans="1:25">
      <c r="A369" s="55" t="s">
        <v>913</v>
      </c>
      <c r="B369" s="56">
        <v>24</v>
      </c>
      <c r="C369" s="56">
        <v>0</v>
      </c>
      <c r="D369" s="56">
        <v>0</v>
      </c>
      <c r="F369" s="56">
        <v>40678816.9</v>
      </c>
      <c r="G369" s="56">
        <v>0</v>
      </c>
      <c r="H369" s="56">
        <v>0</v>
      </c>
      <c r="I369" s="56">
        <v>0</v>
      </c>
      <c r="J369" s="56">
        <v>0</v>
      </c>
      <c r="K369" s="56">
        <v>5</v>
      </c>
      <c r="M369" s="56">
        <v>1</v>
      </c>
      <c r="N369" s="56">
        <v>0</v>
      </c>
      <c r="O369" s="56">
        <v>1</v>
      </c>
      <c r="P369" s="56">
        <v>1</v>
      </c>
      <c r="Q369" s="56">
        <v>0</v>
      </c>
      <c r="R369" s="56">
        <v>1898969240</v>
      </c>
      <c r="S369" s="56">
        <v>39</v>
      </c>
      <c r="T369" s="56">
        <v>145905000</v>
      </c>
      <c r="U369" s="56">
        <v>0</v>
      </c>
      <c r="V369" s="56">
        <v>0</v>
      </c>
      <c r="W369" s="56">
        <v>40678816.9</v>
      </c>
      <c r="X369" s="56">
        <v>0</v>
      </c>
      <c r="Y369" s="55" t="s">
        <v>272</v>
      </c>
    </row>
    <row r="370" spans="1:25">
      <c r="A370" s="55" t="s">
        <v>914</v>
      </c>
      <c r="B370" s="56">
        <v>2</v>
      </c>
      <c r="C370" s="56">
        <v>0</v>
      </c>
      <c r="D370" s="56">
        <v>0</v>
      </c>
      <c r="E370" s="56">
        <v>73010000</v>
      </c>
      <c r="F370" s="56">
        <v>1975165.799</v>
      </c>
      <c r="G370" s="56">
        <v>0</v>
      </c>
      <c r="H370" s="56">
        <v>95360000</v>
      </c>
      <c r="I370" s="56">
        <v>0</v>
      </c>
      <c r="J370" s="56">
        <v>4021362.8</v>
      </c>
      <c r="K370" s="56">
        <v>13.5</v>
      </c>
      <c r="N370" s="56">
        <v>0</v>
      </c>
      <c r="O370" s="56">
        <v>1</v>
      </c>
      <c r="P370" s="56">
        <v>1</v>
      </c>
      <c r="Q370" s="56">
        <v>4021362.8</v>
      </c>
      <c r="R370" s="56">
        <v>95360000</v>
      </c>
      <c r="S370" s="56">
        <v>24</v>
      </c>
      <c r="T370" s="56">
        <v>4021362.8</v>
      </c>
      <c r="U370" s="56">
        <v>0</v>
      </c>
      <c r="V370" s="56">
        <v>0</v>
      </c>
      <c r="W370" s="56">
        <v>201068.14</v>
      </c>
      <c r="X370" s="56">
        <v>95360000</v>
      </c>
      <c r="Y370" s="55" t="s">
        <v>272</v>
      </c>
    </row>
    <row r="371" spans="1:25">
      <c r="A371" s="55" t="s">
        <v>915</v>
      </c>
      <c r="B371" s="56">
        <v>50</v>
      </c>
      <c r="C371" s="56">
        <v>0</v>
      </c>
      <c r="D371" s="56">
        <v>0</v>
      </c>
      <c r="E371" s="56">
        <v>22350000</v>
      </c>
      <c r="F371" s="56">
        <v>604642.5917</v>
      </c>
      <c r="G371" s="56">
        <v>0</v>
      </c>
      <c r="H371" s="56">
        <v>22350000</v>
      </c>
      <c r="I371" s="56">
        <v>0</v>
      </c>
      <c r="J371" s="56">
        <v>4842500</v>
      </c>
      <c r="K371" s="56">
        <v>51</v>
      </c>
      <c r="L371" s="56">
        <v>0</v>
      </c>
      <c r="M371" s="56">
        <v>1</v>
      </c>
      <c r="N371" s="56">
        <v>0</v>
      </c>
      <c r="O371" s="56">
        <v>1</v>
      </c>
      <c r="P371" s="56">
        <v>1</v>
      </c>
      <c r="Q371" s="56">
        <v>4842500</v>
      </c>
      <c r="R371" s="56">
        <v>31893552.81</v>
      </c>
      <c r="S371" s="56">
        <v>62</v>
      </c>
      <c r="T371" s="56">
        <v>4842500</v>
      </c>
      <c r="U371" s="56">
        <v>0</v>
      </c>
      <c r="V371" s="56">
        <v>0</v>
      </c>
      <c r="W371" s="56">
        <v>242125</v>
      </c>
      <c r="X371" s="56">
        <v>22350000</v>
      </c>
      <c r="Y371" s="55" t="s">
        <v>272</v>
      </c>
    </row>
    <row r="372" spans="1:25">
      <c r="A372" s="55" t="s">
        <v>916</v>
      </c>
      <c r="B372" s="56">
        <v>4</v>
      </c>
      <c r="C372" s="56">
        <v>0</v>
      </c>
      <c r="D372" s="56">
        <v>0</v>
      </c>
      <c r="F372" s="56">
        <v>402124.1856</v>
      </c>
      <c r="G372" s="56">
        <v>571368.1899999999</v>
      </c>
      <c r="H372" s="56">
        <v>0</v>
      </c>
      <c r="I372" s="56">
        <v>402124.1856</v>
      </c>
      <c r="J372" s="56">
        <v>0</v>
      </c>
      <c r="K372" s="56">
        <v>2</v>
      </c>
      <c r="L372" s="56">
        <v>0</v>
      </c>
      <c r="M372" s="56">
        <v>1</v>
      </c>
      <c r="N372" s="56">
        <v>0</v>
      </c>
      <c r="O372" s="56">
        <v>1</v>
      </c>
      <c r="P372" s="56">
        <v>1</v>
      </c>
      <c r="Q372" s="56">
        <v>571368.1899999999</v>
      </c>
      <c r="R372" s="56">
        <v>1318101.68</v>
      </c>
      <c r="S372" s="56">
        <v>14</v>
      </c>
      <c r="T372" s="56">
        <v>571368.1899999999</v>
      </c>
      <c r="U372" s="56">
        <v>0</v>
      </c>
      <c r="V372" s="56">
        <v>0</v>
      </c>
      <c r="W372" s="56">
        <v>402124.19</v>
      </c>
      <c r="X372" s="56">
        <v>571368.1899999999</v>
      </c>
      <c r="Y372" s="55" t="s">
        <v>272</v>
      </c>
    </row>
    <row r="373" spans="1:25">
      <c r="A373" s="55" t="s">
        <v>917</v>
      </c>
      <c r="B373" s="56">
        <v>5</v>
      </c>
      <c r="C373" s="56">
        <v>0</v>
      </c>
      <c r="D373" s="56">
        <v>0</v>
      </c>
      <c r="F373" s="56">
        <v>223500</v>
      </c>
      <c r="G373" s="56">
        <v>0</v>
      </c>
      <c r="H373" s="56">
        <v>0</v>
      </c>
      <c r="I373" s="56">
        <v>0</v>
      </c>
      <c r="J373" s="56">
        <v>0</v>
      </c>
      <c r="K373" s="56">
        <v>17</v>
      </c>
      <c r="N373" s="56">
        <v>0</v>
      </c>
      <c r="O373" s="56">
        <v>1</v>
      </c>
      <c r="P373" s="56">
        <v>1</v>
      </c>
      <c r="Q373" s="56">
        <v>22700109.68</v>
      </c>
      <c r="R373" s="56">
        <v>50286010</v>
      </c>
      <c r="S373" s="56">
        <v>60</v>
      </c>
      <c r="T373" s="56">
        <v>22700109.68</v>
      </c>
      <c r="U373" s="56">
        <v>0</v>
      </c>
      <c r="V373" s="56">
        <v>0</v>
      </c>
      <c r="W373" s="56">
        <v>223500</v>
      </c>
      <c r="X373" s="56">
        <v>0</v>
      </c>
      <c r="Y373" s="55" t="s">
        <v>272</v>
      </c>
    </row>
    <row r="374" spans="1:25">
      <c r="A374" s="55" t="s">
        <v>918</v>
      </c>
      <c r="B374" s="56">
        <v>2</v>
      </c>
      <c r="C374" s="56">
        <v>0</v>
      </c>
      <c r="D374" s="56">
        <v>0</v>
      </c>
      <c r="F374" s="56">
        <v>1877354.912</v>
      </c>
      <c r="G374" s="56">
        <v>0</v>
      </c>
      <c r="H374" s="56">
        <v>0</v>
      </c>
      <c r="I374" s="56">
        <v>0</v>
      </c>
      <c r="J374" s="56">
        <v>0</v>
      </c>
      <c r="K374" s="56">
        <v>2</v>
      </c>
      <c r="L374" s="56">
        <v>0</v>
      </c>
      <c r="N374" s="56">
        <v>0</v>
      </c>
      <c r="O374" s="56">
        <v>1</v>
      </c>
      <c r="P374" s="56">
        <v>1</v>
      </c>
      <c r="Q374" s="56">
        <v>0</v>
      </c>
      <c r="R374" s="56">
        <v>44178364.41</v>
      </c>
      <c r="S374" s="56">
        <v>31</v>
      </c>
      <c r="T374" s="56">
        <v>29680763.76</v>
      </c>
      <c r="U374" s="56">
        <v>0</v>
      </c>
      <c r="V374" s="56">
        <v>0</v>
      </c>
      <c r="W374" s="56">
        <v>1877354.91</v>
      </c>
      <c r="X374" s="56">
        <v>0</v>
      </c>
      <c r="Y374" s="55" t="s">
        <v>272</v>
      </c>
    </row>
    <row r="375" spans="1:25">
      <c r="A375" s="55" t="s">
        <v>919</v>
      </c>
      <c r="B375" s="56">
        <v>34</v>
      </c>
      <c r="C375" s="56">
        <v>0</v>
      </c>
      <c r="D375" s="56">
        <v>0</v>
      </c>
      <c r="E375" s="56">
        <v>26820000</v>
      </c>
      <c r="F375" s="56">
        <v>7586730.704</v>
      </c>
      <c r="G375" s="56">
        <v>303248797.8</v>
      </c>
      <c r="H375" s="56">
        <v>37548447</v>
      </c>
      <c r="I375" s="56">
        <v>11925200.3791</v>
      </c>
      <c r="J375" s="56">
        <v>24283496.59</v>
      </c>
      <c r="K375" s="56">
        <v>11.38</v>
      </c>
      <c r="L375" s="56">
        <v>0</v>
      </c>
      <c r="M375" s="56">
        <v>2</v>
      </c>
      <c r="N375" s="56">
        <v>125</v>
      </c>
      <c r="O375" s="56">
        <v>4</v>
      </c>
      <c r="P375" s="56">
        <v>4</v>
      </c>
      <c r="Q375" s="56">
        <v>327532294.39</v>
      </c>
      <c r="R375" s="56">
        <v>561276543.8200001</v>
      </c>
      <c r="S375" s="56">
        <v>59</v>
      </c>
      <c r="T375" s="56">
        <v>421297775.77</v>
      </c>
      <c r="U375" s="56">
        <v>5</v>
      </c>
      <c r="V375" s="56">
        <v>0</v>
      </c>
      <c r="W375" s="56">
        <v>20726105.91</v>
      </c>
      <c r="X375" s="56">
        <v>340797244.8</v>
      </c>
      <c r="Y375" s="55" t="s">
        <v>272</v>
      </c>
    </row>
    <row r="376" spans="1:25">
      <c r="A376" s="55" t="s">
        <v>920</v>
      </c>
      <c r="B376" s="56">
        <v>45</v>
      </c>
      <c r="C376" s="56">
        <v>0</v>
      </c>
      <c r="D376" s="56">
        <v>0</v>
      </c>
      <c r="F376" s="56">
        <v>610852.3199999999</v>
      </c>
      <c r="G376" s="56">
        <v>705267</v>
      </c>
      <c r="H376" s="56">
        <v>0</v>
      </c>
      <c r="I376" s="56">
        <v>895513.84</v>
      </c>
      <c r="J376" s="56">
        <v>0</v>
      </c>
      <c r="K376" s="56">
        <v>1</v>
      </c>
      <c r="L376" s="56">
        <v>0</v>
      </c>
      <c r="M376" s="56">
        <v>1</v>
      </c>
      <c r="N376" s="56">
        <v>0</v>
      </c>
      <c r="O376" s="56">
        <v>1</v>
      </c>
      <c r="P376" s="56">
        <v>1</v>
      </c>
      <c r="Q376" s="56">
        <v>705267</v>
      </c>
      <c r="R376" s="56">
        <v>91766300.29000001</v>
      </c>
      <c r="S376" s="56">
        <v>31</v>
      </c>
      <c r="T376" s="56">
        <v>705267</v>
      </c>
      <c r="U376" s="56">
        <v>0</v>
      </c>
      <c r="V376" s="56">
        <v>0</v>
      </c>
      <c r="W376" s="56">
        <v>895513.84</v>
      </c>
      <c r="X376" s="56">
        <v>705267</v>
      </c>
      <c r="Y376" s="55" t="s">
        <v>272</v>
      </c>
    </row>
    <row r="377" spans="1:25">
      <c r="A377" s="55" t="s">
        <v>921</v>
      </c>
      <c r="B377" s="56">
        <v>2</v>
      </c>
      <c r="C377" s="56">
        <v>0</v>
      </c>
      <c r="D377" s="56">
        <v>0</v>
      </c>
      <c r="E377" s="56">
        <v>373313540</v>
      </c>
      <c r="F377" s="56">
        <v>6714907.221</v>
      </c>
      <c r="G377" s="56">
        <v>0</v>
      </c>
      <c r="H377" s="56">
        <v>373313540</v>
      </c>
      <c r="I377" s="56">
        <v>0</v>
      </c>
      <c r="J377" s="56">
        <v>0</v>
      </c>
      <c r="K377" s="56">
        <v>161</v>
      </c>
      <c r="M377" s="56">
        <v>1</v>
      </c>
      <c r="N377" s="56">
        <v>0</v>
      </c>
      <c r="O377" s="56">
        <v>1</v>
      </c>
      <c r="P377" s="56">
        <v>1</v>
      </c>
      <c r="Q377" s="56">
        <v>0</v>
      </c>
      <c r="R377" s="56">
        <v>429933540</v>
      </c>
      <c r="S377" s="56">
        <v>165</v>
      </c>
      <c r="T377" s="56">
        <v>0</v>
      </c>
      <c r="U377" s="56">
        <v>0</v>
      </c>
      <c r="V377" s="56">
        <v>0</v>
      </c>
      <c r="W377" s="56">
        <v>0</v>
      </c>
      <c r="X377" s="56">
        <v>373313540</v>
      </c>
      <c r="Y377" s="55" t="s">
        <v>272</v>
      </c>
    </row>
    <row r="378" spans="1:25">
      <c r="A378" s="55" t="s">
        <v>922</v>
      </c>
      <c r="B378" s="56">
        <v>9</v>
      </c>
      <c r="C378" s="56">
        <v>0</v>
      </c>
      <c r="D378" s="56">
        <v>0</v>
      </c>
      <c r="E378" s="56">
        <v>29800000</v>
      </c>
      <c r="F378" s="56">
        <v>798691.1698</v>
      </c>
      <c r="G378" s="56">
        <v>0</v>
      </c>
      <c r="H378" s="56">
        <v>113240000</v>
      </c>
      <c r="I378" s="56">
        <v>0</v>
      </c>
      <c r="J378" s="56">
        <v>17849949.27</v>
      </c>
      <c r="K378" s="56">
        <v>14</v>
      </c>
      <c r="M378" s="56">
        <v>1</v>
      </c>
      <c r="N378" s="56">
        <v>0</v>
      </c>
      <c r="O378" s="56">
        <v>1</v>
      </c>
      <c r="P378" s="56">
        <v>1</v>
      </c>
      <c r="Q378" s="56">
        <v>17849949.27</v>
      </c>
      <c r="R378" s="56">
        <v>113240000</v>
      </c>
      <c r="S378" s="56">
        <v>55</v>
      </c>
      <c r="T378" s="56">
        <v>17849949.27</v>
      </c>
      <c r="U378" s="56">
        <v>0</v>
      </c>
      <c r="V378" s="56">
        <v>0</v>
      </c>
      <c r="W378" s="56">
        <v>892497.46</v>
      </c>
      <c r="X378" s="56">
        <v>113240000</v>
      </c>
      <c r="Y378" s="55" t="s">
        <v>272</v>
      </c>
    </row>
    <row r="379" spans="1:25">
      <c r="A379" s="55" t="s">
        <v>923</v>
      </c>
      <c r="B379" s="56">
        <v>15</v>
      </c>
      <c r="C379" s="56">
        <v>0</v>
      </c>
      <c r="D379" s="56">
        <v>0</v>
      </c>
      <c r="F379" s="56">
        <v>146301903.2</v>
      </c>
      <c r="G379" s="56">
        <v>0</v>
      </c>
      <c r="H379" s="56">
        <v>0</v>
      </c>
      <c r="I379" s="56">
        <v>0</v>
      </c>
      <c r="J379" s="56">
        <v>0</v>
      </c>
      <c r="K379" s="56">
        <v>2.5</v>
      </c>
      <c r="L379" s="56">
        <v>8</v>
      </c>
      <c r="M379" s="56">
        <v>1</v>
      </c>
      <c r="N379" s="56">
        <v>8</v>
      </c>
      <c r="O379" s="56">
        <v>1</v>
      </c>
      <c r="P379" s="56">
        <v>1</v>
      </c>
      <c r="Q379" s="56">
        <v>0</v>
      </c>
      <c r="R379" s="56">
        <v>1406433771.67</v>
      </c>
      <c r="S379" s="56">
        <v>103</v>
      </c>
      <c r="T379" s="56">
        <v>1138279000</v>
      </c>
      <c r="U379" s="56">
        <v>0</v>
      </c>
      <c r="V379" s="56">
        <v>0</v>
      </c>
      <c r="W379" s="56">
        <v>156940445.48</v>
      </c>
      <c r="X379" s="56">
        <v>0</v>
      </c>
      <c r="Y379" s="55" t="s">
        <v>272</v>
      </c>
    </row>
    <row r="380" spans="1:25">
      <c r="A380" s="55" t="s">
        <v>924</v>
      </c>
      <c r="B380" s="56">
        <v>25</v>
      </c>
      <c r="C380" s="56">
        <v>0</v>
      </c>
      <c r="D380" s="56">
        <v>0</v>
      </c>
      <c r="F380" s="56">
        <v>1184416.149</v>
      </c>
      <c r="G380" s="56">
        <v>2166325.46</v>
      </c>
      <c r="H380" s="56">
        <v>0</v>
      </c>
      <c r="I380" s="56">
        <v>1195928.13521</v>
      </c>
      <c r="J380" s="56">
        <v>0</v>
      </c>
      <c r="K380" s="56">
        <v>2</v>
      </c>
      <c r="L380" s="56">
        <v>0</v>
      </c>
      <c r="M380" s="56">
        <v>1</v>
      </c>
      <c r="N380" s="56">
        <v>0</v>
      </c>
      <c r="O380" s="56">
        <v>1</v>
      </c>
      <c r="P380" s="56">
        <v>1</v>
      </c>
      <c r="Q380" s="56">
        <v>2166325.46</v>
      </c>
      <c r="R380" s="56">
        <v>3323635.72</v>
      </c>
      <c r="S380" s="56">
        <v>16</v>
      </c>
      <c r="T380" s="56">
        <v>2166325.46</v>
      </c>
      <c r="U380" s="56">
        <v>0</v>
      </c>
      <c r="V380" s="56">
        <v>0</v>
      </c>
      <c r="W380" s="56">
        <v>1195928.14</v>
      </c>
      <c r="X380" s="56">
        <v>2166325.46</v>
      </c>
      <c r="Y380" s="55" t="s">
        <v>272</v>
      </c>
    </row>
    <row r="381" spans="1:25">
      <c r="A381" s="55" t="s">
        <v>925</v>
      </c>
      <c r="B381" s="56">
        <v>2</v>
      </c>
      <c r="C381" s="56">
        <v>0</v>
      </c>
      <c r="D381" s="56">
        <v>0</v>
      </c>
      <c r="F381" s="56">
        <v>5773351.452</v>
      </c>
      <c r="G381" s="56">
        <v>310148181.1</v>
      </c>
      <c r="H381" s="56">
        <v>0</v>
      </c>
      <c r="I381" s="56">
        <v>5773351.452</v>
      </c>
      <c r="J381" s="56">
        <v>0</v>
      </c>
      <c r="K381" s="56">
        <v>29</v>
      </c>
      <c r="M381" s="56">
        <v>1</v>
      </c>
      <c r="N381" s="56">
        <v>0</v>
      </c>
      <c r="O381" s="56">
        <v>1</v>
      </c>
      <c r="P381" s="56">
        <v>1</v>
      </c>
      <c r="Q381" s="56">
        <v>310148181.1</v>
      </c>
      <c r="R381" s="56">
        <v>327745241</v>
      </c>
      <c r="S381" s="56">
        <v>46</v>
      </c>
      <c r="T381" s="56">
        <v>310148181.1</v>
      </c>
      <c r="U381" s="56">
        <v>0</v>
      </c>
      <c r="V381" s="56">
        <v>0</v>
      </c>
      <c r="W381" s="56">
        <v>5773351.45</v>
      </c>
      <c r="X381" s="56">
        <v>310148181.1</v>
      </c>
      <c r="Y381" s="55" t="s">
        <v>272</v>
      </c>
    </row>
    <row r="382" spans="1:25">
      <c r="A382" s="55" t="s">
        <v>926</v>
      </c>
      <c r="B382" s="56">
        <v>75</v>
      </c>
      <c r="C382" s="56">
        <v>0</v>
      </c>
      <c r="D382" s="56">
        <v>0</v>
      </c>
      <c r="F382" s="56">
        <v>1926214.828</v>
      </c>
      <c r="G382" s="56">
        <v>51045031.78</v>
      </c>
      <c r="H382" s="56">
        <v>0</v>
      </c>
      <c r="I382" s="56">
        <v>10128930.33309</v>
      </c>
      <c r="J382" s="56">
        <v>0</v>
      </c>
      <c r="K382" s="56">
        <v>3.5</v>
      </c>
      <c r="L382" s="56">
        <v>26</v>
      </c>
      <c r="M382" s="56">
        <v>5</v>
      </c>
      <c r="N382" s="56">
        <v>28</v>
      </c>
      <c r="O382" s="56">
        <v>2</v>
      </c>
      <c r="P382" s="56">
        <v>2</v>
      </c>
      <c r="Q382" s="56">
        <v>51102263.62</v>
      </c>
      <c r="R382" s="56">
        <v>109068080.46</v>
      </c>
      <c r="S382" s="56">
        <v>90</v>
      </c>
      <c r="T382" s="56">
        <v>51102263.62</v>
      </c>
      <c r="U382" s="56">
        <v>4</v>
      </c>
      <c r="V382" s="56">
        <v>0</v>
      </c>
      <c r="W382" s="56">
        <v>10131256.97</v>
      </c>
      <c r="X382" s="56">
        <v>51045031.78</v>
      </c>
      <c r="Y382" s="55" t="s">
        <v>272</v>
      </c>
    </row>
    <row r="383" spans="1:25">
      <c r="A383" s="55" t="s">
        <v>927</v>
      </c>
      <c r="B383" s="56">
        <v>1</v>
      </c>
      <c r="C383" s="56">
        <v>0</v>
      </c>
      <c r="D383" s="56">
        <v>0</v>
      </c>
      <c r="E383" s="56">
        <v>7450000</v>
      </c>
      <c r="F383" s="56">
        <v>67719.12889000001</v>
      </c>
      <c r="G383" s="56">
        <v>0</v>
      </c>
      <c r="H383" s="56">
        <v>7450000</v>
      </c>
      <c r="I383" s="56">
        <v>0</v>
      </c>
      <c r="J383" s="56">
        <v>3290263.2</v>
      </c>
      <c r="K383" s="56">
        <v>91</v>
      </c>
      <c r="N383" s="56">
        <v>0</v>
      </c>
      <c r="O383" s="56">
        <v>1</v>
      </c>
      <c r="P383" s="56">
        <v>1</v>
      </c>
      <c r="Q383" s="56">
        <v>3290263.2</v>
      </c>
      <c r="R383" s="56">
        <v>7450000</v>
      </c>
      <c r="S383" s="56">
        <v>91</v>
      </c>
      <c r="T383" s="56">
        <v>3290263.2</v>
      </c>
      <c r="U383" s="56">
        <v>0</v>
      </c>
      <c r="V383" s="56">
        <v>0</v>
      </c>
      <c r="W383" s="56">
        <v>164513.16</v>
      </c>
      <c r="X383" s="56">
        <v>7450000</v>
      </c>
      <c r="Y383" s="55" t="s">
        <v>272</v>
      </c>
    </row>
    <row r="384" spans="1:25">
      <c r="A384" s="55" t="s">
        <v>928</v>
      </c>
      <c r="B384" s="56">
        <v>4</v>
      </c>
      <c r="C384" s="56">
        <v>0</v>
      </c>
      <c r="D384" s="56">
        <v>0</v>
      </c>
      <c r="E384" s="56">
        <v>238400000</v>
      </c>
      <c r="F384" s="56">
        <v>5849381.553</v>
      </c>
      <c r="G384" s="56">
        <v>0</v>
      </c>
      <c r="H384" s="56">
        <v>238400000</v>
      </c>
      <c r="I384" s="56">
        <v>0</v>
      </c>
      <c r="J384" s="56">
        <v>25000448.34</v>
      </c>
      <c r="K384" s="56">
        <v>28</v>
      </c>
      <c r="N384" s="56">
        <v>0</v>
      </c>
      <c r="O384" s="56">
        <v>1</v>
      </c>
      <c r="P384" s="56">
        <v>1</v>
      </c>
      <c r="Q384" s="56">
        <v>25000448.34</v>
      </c>
      <c r="R384" s="56">
        <v>332270000</v>
      </c>
      <c r="S384" s="56">
        <v>81</v>
      </c>
      <c r="T384" s="56">
        <v>25000448.34</v>
      </c>
      <c r="U384" s="56">
        <v>0</v>
      </c>
      <c r="V384" s="56">
        <v>0</v>
      </c>
      <c r="W384" s="56">
        <v>1250022.42</v>
      </c>
      <c r="X384" s="56">
        <v>238400000</v>
      </c>
      <c r="Y384" s="55" t="s">
        <v>272</v>
      </c>
    </row>
    <row r="385" spans="1:25">
      <c r="A385" s="55" t="s">
        <v>929</v>
      </c>
      <c r="B385" s="56">
        <v>5</v>
      </c>
      <c r="C385" s="56">
        <v>0</v>
      </c>
      <c r="D385" s="56">
        <v>1</v>
      </c>
      <c r="F385" s="56">
        <v>1184540.042</v>
      </c>
      <c r="G385" s="56">
        <v>1350000</v>
      </c>
      <c r="H385" s="56">
        <v>0</v>
      </c>
      <c r="I385" s="56">
        <v>0</v>
      </c>
      <c r="J385" s="56">
        <v>0</v>
      </c>
      <c r="K385" s="56">
        <v>21.5</v>
      </c>
      <c r="L385" s="56">
        <v>828</v>
      </c>
      <c r="M385" s="56">
        <v>5</v>
      </c>
      <c r="N385" s="56">
        <v>828</v>
      </c>
      <c r="O385" s="56">
        <v>5</v>
      </c>
      <c r="P385" s="56">
        <v>5</v>
      </c>
      <c r="Q385" s="56">
        <v>1934450.52</v>
      </c>
      <c r="R385" s="56">
        <v>84309860.51000001</v>
      </c>
      <c r="S385" s="56">
        <v>88</v>
      </c>
      <c r="T385" s="56">
        <v>9691530.52</v>
      </c>
      <c r="U385" s="56">
        <v>0</v>
      </c>
      <c r="V385" s="56">
        <v>0</v>
      </c>
      <c r="W385" s="56">
        <v>1184540.04</v>
      </c>
      <c r="X385" s="56">
        <v>1350000</v>
      </c>
      <c r="Y385" s="55" t="s">
        <v>546</v>
      </c>
    </row>
    <row r="386" spans="1:25">
      <c r="A386" s="55" t="s">
        <v>930</v>
      </c>
      <c r="B386" s="56">
        <v>3</v>
      </c>
      <c r="C386" s="56">
        <v>0</v>
      </c>
      <c r="D386" s="56">
        <v>0</v>
      </c>
      <c r="E386" s="56">
        <v>59600000</v>
      </c>
      <c r="F386" s="56">
        <v>11030930.55</v>
      </c>
      <c r="G386" s="56">
        <v>0</v>
      </c>
      <c r="H386" s="56">
        <v>59600000</v>
      </c>
      <c r="I386" s="56">
        <v>0</v>
      </c>
      <c r="J386" s="56">
        <v>1576986.3</v>
      </c>
      <c r="K386" s="56">
        <v>2.5</v>
      </c>
      <c r="L386" s="56">
        <v>0</v>
      </c>
      <c r="M386" s="56">
        <v>1</v>
      </c>
      <c r="N386" s="56">
        <v>0</v>
      </c>
      <c r="O386" s="56">
        <v>1</v>
      </c>
      <c r="P386" s="56">
        <v>1</v>
      </c>
      <c r="Q386" s="56">
        <v>1576986.3</v>
      </c>
      <c r="R386" s="56">
        <v>200628500</v>
      </c>
      <c r="S386" s="56">
        <v>45</v>
      </c>
      <c r="T386" s="56">
        <v>90410486.3</v>
      </c>
      <c r="U386" s="56">
        <v>0</v>
      </c>
      <c r="V386" s="56">
        <v>0</v>
      </c>
      <c r="W386" s="56">
        <v>11109779.87</v>
      </c>
      <c r="X386" s="56">
        <v>59600000</v>
      </c>
      <c r="Y386" s="55" t="s">
        <v>272</v>
      </c>
    </row>
    <row r="387" spans="1:25">
      <c r="A387" s="55" t="s">
        <v>931</v>
      </c>
      <c r="B387" s="56">
        <v>111</v>
      </c>
      <c r="C387" s="56">
        <v>0</v>
      </c>
      <c r="D387" s="56">
        <v>1</v>
      </c>
      <c r="F387" s="56">
        <v>1988636.866</v>
      </c>
      <c r="G387" s="56">
        <v>4711600.24</v>
      </c>
      <c r="H387" s="56">
        <v>0</v>
      </c>
      <c r="I387" s="56">
        <v>2372584.69686</v>
      </c>
      <c r="J387" s="56">
        <v>0</v>
      </c>
      <c r="K387" s="56">
        <v>17</v>
      </c>
      <c r="L387" s="56">
        <v>0</v>
      </c>
      <c r="M387" s="56">
        <v>1</v>
      </c>
      <c r="N387" s="56">
        <v>149</v>
      </c>
      <c r="O387" s="56">
        <v>5</v>
      </c>
      <c r="P387" s="56">
        <v>5</v>
      </c>
      <c r="Q387" s="56">
        <v>21893833.24</v>
      </c>
      <c r="R387" s="56">
        <v>193186699.47</v>
      </c>
      <c r="S387" s="56">
        <v>78</v>
      </c>
      <c r="T387" s="56">
        <v>125023793.74</v>
      </c>
      <c r="U387" s="56">
        <v>1</v>
      </c>
      <c r="V387" s="56">
        <v>0</v>
      </c>
      <c r="W387" s="56">
        <v>3417304.32</v>
      </c>
      <c r="X387" s="56">
        <v>4711600.24</v>
      </c>
      <c r="Y387" s="55" t="s">
        <v>546</v>
      </c>
    </row>
    <row r="388" spans="1:25">
      <c r="A388" s="55" t="s">
        <v>932</v>
      </c>
      <c r="B388" s="56">
        <v>14</v>
      </c>
      <c r="C388" s="56">
        <v>0</v>
      </c>
      <c r="D388" s="56">
        <v>0</v>
      </c>
      <c r="E388" s="56">
        <v>22350000</v>
      </c>
      <c r="F388" s="56">
        <v>604642.5917</v>
      </c>
      <c r="G388" s="56">
        <v>72233.82000000001</v>
      </c>
      <c r="H388" s="56">
        <v>22350000</v>
      </c>
      <c r="I388" s="56">
        <v>64005.01224</v>
      </c>
      <c r="J388" s="56">
        <v>7929875.76</v>
      </c>
      <c r="K388" s="56">
        <v>4.5</v>
      </c>
      <c r="L388" s="56">
        <v>0</v>
      </c>
      <c r="M388" s="56">
        <v>1</v>
      </c>
      <c r="N388" s="56">
        <v>0</v>
      </c>
      <c r="O388" s="56">
        <v>1</v>
      </c>
      <c r="P388" s="56">
        <v>1</v>
      </c>
      <c r="Q388" s="56">
        <v>8002109.58</v>
      </c>
      <c r="R388" s="56">
        <v>22444410.87</v>
      </c>
      <c r="S388" s="56">
        <v>31</v>
      </c>
      <c r="T388" s="56">
        <v>8002109.58</v>
      </c>
      <c r="U388" s="56">
        <v>0</v>
      </c>
      <c r="V388" s="56">
        <v>0</v>
      </c>
      <c r="W388" s="56">
        <v>460498.8</v>
      </c>
      <c r="X388" s="56">
        <v>22422233.82</v>
      </c>
      <c r="Y388" s="55" t="s">
        <v>272</v>
      </c>
    </row>
    <row r="389" spans="1:25">
      <c r="A389" s="55" t="s">
        <v>933</v>
      </c>
      <c r="B389" s="56">
        <v>3</v>
      </c>
      <c r="C389" s="56">
        <v>0</v>
      </c>
      <c r="D389" s="56">
        <v>0</v>
      </c>
      <c r="E389" s="56">
        <v>14602000</v>
      </c>
      <c r="F389" s="56">
        <v>1085674.594</v>
      </c>
      <c r="G389" s="56">
        <v>0</v>
      </c>
      <c r="H389" s="56">
        <v>29204000</v>
      </c>
      <c r="I389" s="56">
        <v>0</v>
      </c>
      <c r="J389" s="56">
        <v>0</v>
      </c>
      <c r="K389" s="56">
        <v>49</v>
      </c>
      <c r="N389" s="56">
        <v>0</v>
      </c>
      <c r="O389" s="56">
        <v>1</v>
      </c>
      <c r="P389" s="56">
        <v>1</v>
      </c>
      <c r="Q389" s="56">
        <v>0</v>
      </c>
      <c r="R389" s="56">
        <v>194109750</v>
      </c>
      <c r="S389" s="56">
        <v>73</v>
      </c>
      <c r="T389" s="56">
        <v>104168399.9</v>
      </c>
      <c r="U389" s="56">
        <v>0</v>
      </c>
      <c r="V389" s="56">
        <v>0</v>
      </c>
      <c r="W389" s="56">
        <v>1085674.59</v>
      </c>
      <c r="X389" s="56">
        <v>29204000</v>
      </c>
      <c r="Y389" s="55" t="s">
        <v>272</v>
      </c>
    </row>
    <row r="390" spans="1:25">
      <c r="A390" s="55" t="s">
        <v>934</v>
      </c>
      <c r="B390" s="56">
        <v>222</v>
      </c>
      <c r="C390" s="56">
        <v>0</v>
      </c>
      <c r="D390" s="56">
        <v>0</v>
      </c>
      <c r="F390" s="56">
        <v>935884.7692</v>
      </c>
      <c r="G390" s="56">
        <v>6990047.32</v>
      </c>
      <c r="H390" s="56">
        <v>0</v>
      </c>
      <c r="I390" s="56">
        <v>2614378.39714</v>
      </c>
      <c r="J390" s="56">
        <v>0</v>
      </c>
      <c r="K390" s="56">
        <v>5</v>
      </c>
      <c r="L390" s="56">
        <v>0</v>
      </c>
      <c r="M390" s="56">
        <v>1</v>
      </c>
      <c r="N390" s="56">
        <v>0</v>
      </c>
      <c r="O390" s="56">
        <v>1</v>
      </c>
      <c r="P390" s="56">
        <v>1</v>
      </c>
      <c r="Q390" s="56">
        <v>6990047.32</v>
      </c>
      <c r="R390" s="56">
        <v>10270087.24</v>
      </c>
      <c r="S390" s="56">
        <v>37</v>
      </c>
      <c r="T390" s="56">
        <v>6990047.32</v>
      </c>
      <c r="U390" s="56">
        <v>0</v>
      </c>
      <c r="V390" s="56">
        <v>0</v>
      </c>
      <c r="W390" s="56">
        <v>2614378.4</v>
      </c>
      <c r="X390" s="56">
        <v>6990047.32</v>
      </c>
      <c r="Y390" s="55" t="s">
        <v>272</v>
      </c>
    </row>
    <row r="391" spans="1:25">
      <c r="A391" s="55" t="s">
        <v>935</v>
      </c>
      <c r="B391" s="56">
        <v>25</v>
      </c>
      <c r="C391" s="56">
        <v>0</v>
      </c>
      <c r="D391" s="56">
        <v>0</v>
      </c>
      <c r="E391" s="56">
        <v>74500000</v>
      </c>
      <c r="F391" s="56">
        <v>1975165.799</v>
      </c>
      <c r="G391" s="56">
        <v>0</v>
      </c>
      <c r="H391" s="56">
        <v>435229000</v>
      </c>
      <c r="I391" s="56">
        <v>32448.0303</v>
      </c>
      <c r="J391" s="56">
        <v>71476459.68000001</v>
      </c>
      <c r="K391" s="56">
        <v>16.83</v>
      </c>
      <c r="L391" s="56">
        <v>0</v>
      </c>
      <c r="M391" s="56">
        <v>1</v>
      </c>
      <c r="N391" s="56">
        <v>0</v>
      </c>
      <c r="O391" s="56">
        <v>1</v>
      </c>
      <c r="P391" s="56">
        <v>1</v>
      </c>
      <c r="Q391" s="56">
        <v>71476459.68000001</v>
      </c>
      <c r="R391" s="56">
        <v>440256260</v>
      </c>
      <c r="S391" s="56">
        <v>39</v>
      </c>
      <c r="T391" s="56">
        <v>71476459.68000001</v>
      </c>
      <c r="U391" s="56">
        <v>0</v>
      </c>
      <c r="V391" s="56">
        <v>0</v>
      </c>
      <c r="W391" s="56">
        <v>3606271.01</v>
      </c>
      <c r="X391" s="56">
        <v>435229000</v>
      </c>
      <c r="Y391" s="55" t="s">
        <v>272</v>
      </c>
    </row>
    <row r="392" spans="1:25">
      <c r="A392" s="55" t="s">
        <v>936</v>
      </c>
      <c r="B392" s="56">
        <v>1</v>
      </c>
      <c r="C392" s="56">
        <v>0</v>
      </c>
      <c r="D392" s="56">
        <v>0</v>
      </c>
      <c r="F392" s="56">
        <v>186250</v>
      </c>
      <c r="G392" s="56">
        <v>0</v>
      </c>
      <c r="H392" s="56">
        <v>0</v>
      </c>
      <c r="I392" s="56">
        <v>0</v>
      </c>
      <c r="J392" s="56">
        <v>0</v>
      </c>
      <c r="K392" s="56">
        <v>6</v>
      </c>
      <c r="N392" s="56">
        <v>0</v>
      </c>
      <c r="O392" s="56">
        <v>1</v>
      </c>
      <c r="P392" s="56">
        <v>1</v>
      </c>
      <c r="Q392" s="56">
        <v>35500000</v>
      </c>
      <c r="R392" s="56">
        <v>37250000</v>
      </c>
      <c r="S392" s="56">
        <v>6</v>
      </c>
      <c r="T392" s="56">
        <v>35500000</v>
      </c>
      <c r="U392" s="56">
        <v>0</v>
      </c>
      <c r="V392" s="56">
        <v>0</v>
      </c>
      <c r="W392" s="56">
        <v>186250</v>
      </c>
      <c r="X392" s="56">
        <v>0</v>
      </c>
      <c r="Y392" s="55" t="s">
        <v>272</v>
      </c>
    </row>
    <row r="393" spans="1:25">
      <c r="A393" s="55" t="s">
        <v>937</v>
      </c>
      <c r="B393" s="56">
        <v>34</v>
      </c>
      <c r="C393" s="56">
        <v>0</v>
      </c>
      <c r="D393" s="56">
        <v>0</v>
      </c>
      <c r="F393" s="56">
        <v>804338.7995</v>
      </c>
      <c r="G393" s="56">
        <v>2477716.86</v>
      </c>
      <c r="H393" s="56">
        <v>0</v>
      </c>
      <c r="I393" s="56">
        <v>1634276.6361</v>
      </c>
      <c r="J393" s="56">
        <v>0</v>
      </c>
      <c r="K393" s="56">
        <v>22.5</v>
      </c>
      <c r="L393" s="56">
        <v>0</v>
      </c>
      <c r="M393" s="56">
        <v>1</v>
      </c>
      <c r="N393" s="56">
        <v>0</v>
      </c>
      <c r="O393" s="56">
        <v>1</v>
      </c>
      <c r="P393" s="56">
        <v>1</v>
      </c>
      <c r="Q393" s="56">
        <v>3114387.86</v>
      </c>
      <c r="R393" s="56">
        <v>55471226.39</v>
      </c>
      <c r="S393" s="56">
        <v>61</v>
      </c>
      <c r="T393" s="56">
        <v>3114387.86</v>
      </c>
      <c r="U393" s="56">
        <v>0</v>
      </c>
      <c r="V393" s="56">
        <v>0</v>
      </c>
      <c r="W393" s="56">
        <v>1667563.73</v>
      </c>
      <c r="X393" s="56">
        <v>2477716.86</v>
      </c>
      <c r="Y393" s="55" t="s">
        <v>272</v>
      </c>
    </row>
    <row r="394" spans="1:25">
      <c r="A394" s="55" t="s">
        <v>938</v>
      </c>
      <c r="B394" s="56">
        <v>92</v>
      </c>
      <c r="C394" s="56">
        <v>0</v>
      </c>
      <c r="D394" s="56">
        <v>0</v>
      </c>
      <c r="F394" s="56">
        <v>916349.4954</v>
      </c>
      <c r="G394" s="56">
        <v>2674946.4</v>
      </c>
      <c r="H394" s="56">
        <v>0</v>
      </c>
      <c r="I394" s="56">
        <v>1279466.7004</v>
      </c>
      <c r="J394" s="56">
        <v>0</v>
      </c>
      <c r="K394" s="56">
        <v>3</v>
      </c>
      <c r="L394" s="56">
        <v>0</v>
      </c>
      <c r="M394" s="56">
        <v>1</v>
      </c>
      <c r="N394" s="56">
        <v>0</v>
      </c>
      <c r="O394" s="56">
        <v>1</v>
      </c>
      <c r="P394" s="56">
        <v>1</v>
      </c>
      <c r="Q394" s="56">
        <v>7004533.77</v>
      </c>
      <c r="R394" s="56">
        <v>11746136.37</v>
      </c>
      <c r="S394" s="56">
        <v>28</v>
      </c>
      <c r="T394" s="56">
        <v>7004533.77</v>
      </c>
      <c r="U394" s="56">
        <v>0</v>
      </c>
      <c r="V394" s="56">
        <v>0</v>
      </c>
      <c r="W394" s="56">
        <v>1470207.56</v>
      </c>
      <c r="X394" s="56">
        <v>2674946.4</v>
      </c>
      <c r="Y394" s="55" t="s">
        <v>272</v>
      </c>
    </row>
    <row r="395" spans="1:25">
      <c r="A395" s="55" t="s">
        <v>939</v>
      </c>
      <c r="B395" s="56">
        <v>30</v>
      </c>
      <c r="C395" s="56">
        <v>0</v>
      </c>
      <c r="D395" s="56">
        <v>0</v>
      </c>
      <c r="F395" s="56">
        <v>13807588.97</v>
      </c>
      <c r="G395" s="56">
        <v>9756452.800000001</v>
      </c>
      <c r="H395" s="56">
        <v>0</v>
      </c>
      <c r="I395" s="56">
        <v>3946206.911999999</v>
      </c>
      <c r="J395" s="56">
        <v>0</v>
      </c>
      <c r="K395" s="56">
        <v>1.63</v>
      </c>
      <c r="L395" s="56">
        <v>0</v>
      </c>
      <c r="M395" s="56">
        <v>1</v>
      </c>
      <c r="N395" s="56">
        <v>0</v>
      </c>
      <c r="O395" s="56">
        <v>1</v>
      </c>
      <c r="P395" s="56">
        <v>1</v>
      </c>
      <c r="Q395" s="56">
        <v>16648027.48</v>
      </c>
      <c r="R395" s="56">
        <v>504732304.41</v>
      </c>
      <c r="S395" s="56">
        <v>24</v>
      </c>
      <c r="T395" s="56">
        <v>486531566.9299999</v>
      </c>
      <c r="U395" s="56">
        <v>0</v>
      </c>
      <c r="V395" s="56">
        <v>0</v>
      </c>
      <c r="W395" s="56">
        <v>20532377.73</v>
      </c>
      <c r="X395" s="56">
        <v>9756452.800000001</v>
      </c>
      <c r="Y395" s="55" t="s">
        <v>272</v>
      </c>
    </row>
    <row r="396" spans="1:25">
      <c r="A396" s="55" t="s">
        <v>940</v>
      </c>
      <c r="B396" s="56">
        <v>1</v>
      </c>
      <c r="C396" s="56">
        <v>0</v>
      </c>
      <c r="D396" s="56">
        <v>0</v>
      </c>
      <c r="E396" s="56">
        <v>59600000</v>
      </c>
      <c r="F396" s="56">
        <v>2245434.013</v>
      </c>
      <c r="G396" s="56">
        <v>0</v>
      </c>
      <c r="H396" s="56">
        <v>59600000</v>
      </c>
      <c r="I396" s="56">
        <v>0</v>
      </c>
      <c r="J396" s="56">
        <v>11261.6</v>
      </c>
      <c r="K396" s="56">
        <v>57</v>
      </c>
      <c r="N396" s="56">
        <v>0</v>
      </c>
      <c r="O396" s="56">
        <v>1</v>
      </c>
      <c r="P396" s="56">
        <v>1</v>
      </c>
      <c r="Q396" s="56">
        <v>11261.6</v>
      </c>
      <c r="R396" s="56">
        <v>59600000</v>
      </c>
      <c r="S396" s="56">
        <v>57</v>
      </c>
      <c r="T396" s="56">
        <v>11261.6</v>
      </c>
      <c r="U396" s="56">
        <v>0</v>
      </c>
      <c r="V396" s="56">
        <v>0</v>
      </c>
      <c r="W396" s="56">
        <v>563.08</v>
      </c>
      <c r="X396" s="56">
        <v>59600000</v>
      </c>
      <c r="Y396" s="55" t="s">
        <v>272</v>
      </c>
    </row>
    <row r="397" spans="1:25">
      <c r="A397" s="55" t="s">
        <v>941</v>
      </c>
      <c r="B397" s="56">
        <v>36</v>
      </c>
      <c r="C397" s="56">
        <v>0</v>
      </c>
      <c r="D397" s="56">
        <v>0</v>
      </c>
      <c r="F397" s="56">
        <v>3009800</v>
      </c>
      <c r="G397" s="56">
        <v>9612489.199999999</v>
      </c>
      <c r="H397" s="56">
        <v>0</v>
      </c>
      <c r="I397" s="56">
        <v>7310191.886</v>
      </c>
      <c r="J397" s="56">
        <v>0</v>
      </c>
      <c r="K397" s="56">
        <v>1.67</v>
      </c>
      <c r="M397" s="56">
        <v>1</v>
      </c>
      <c r="N397" s="56">
        <v>0</v>
      </c>
      <c r="O397" s="56">
        <v>1</v>
      </c>
      <c r="P397" s="56">
        <v>1</v>
      </c>
      <c r="Q397" s="56">
        <v>9612489.199999999</v>
      </c>
      <c r="R397" s="56">
        <v>21019666.91</v>
      </c>
      <c r="S397" s="56">
        <v>51</v>
      </c>
      <c r="T397" s="56">
        <v>9612489.199999999</v>
      </c>
      <c r="U397" s="56">
        <v>0</v>
      </c>
      <c r="V397" s="56">
        <v>5</v>
      </c>
      <c r="W397" s="56">
        <v>7310191.89</v>
      </c>
      <c r="X397" s="56">
        <v>9612489.199999999</v>
      </c>
      <c r="Y397" s="55" t="s">
        <v>563</v>
      </c>
    </row>
    <row r="398" spans="1:25">
      <c r="A398" s="55" t="s">
        <v>942</v>
      </c>
      <c r="B398" s="56">
        <v>15</v>
      </c>
      <c r="C398" s="56">
        <v>1</v>
      </c>
      <c r="D398" s="56">
        <v>2</v>
      </c>
      <c r="F398" s="56">
        <v>849695.1772</v>
      </c>
      <c r="G398" s="56">
        <v>0</v>
      </c>
      <c r="H398" s="56">
        <v>0</v>
      </c>
      <c r="I398" s="56">
        <v>0</v>
      </c>
      <c r="J398" s="56">
        <v>0</v>
      </c>
      <c r="K398" s="56">
        <v>56</v>
      </c>
      <c r="L398" s="56">
        <v>911</v>
      </c>
      <c r="M398" s="56">
        <v>1</v>
      </c>
      <c r="N398" s="56">
        <v>911</v>
      </c>
      <c r="O398" s="56">
        <v>5</v>
      </c>
      <c r="P398" s="56">
        <v>5</v>
      </c>
      <c r="Q398" s="56">
        <v>7371692.02</v>
      </c>
      <c r="R398" s="56">
        <v>50055483.16</v>
      </c>
      <c r="S398" s="56">
        <v>120</v>
      </c>
      <c r="T398" s="56">
        <v>8975530.9</v>
      </c>
      <c r="U398" s="56">
        <v>1</v>
      </c>
      <c r="V398" s="56">
        <v>2</v>
      </c>
      <c r="W398" s="56">
        <v>1062926.59</v>
      </c>
      <c r="X398" s="56">
        <v>0</v>
      </c>
      <c r="Y398" s="55" t="s">
        <v>546</v>
      </c>
    </row>
    <row r="399" spans="1:25">
      <c r="A399" s="55" t="s">
        <v>943</v>
      </c>
      <c r="B399" s="56">
        <v>8</v>
      </c>
      <c r="C399" s="56">
        <v>0</v>
      </c>
      <c r="D399" s="56">
        <v>0</v>
      </c>
      <c r="F399" s="56">
        <v>4767963.086</v>
      </c>
      <c r="G399" s="56">
        <v>0</v>
      </c>
      <c r="H399" s="56">
        <v>0</v>
      </c>
      <c r="I399" s="56">
        <v>0</v>
      </c>
      <c r="J399" s="56">
        <v>0</v>
      </c>
      <c r="K399" s="56">
        <v>6</v>
      </c>
      <c r="L399" s="56">
        <v>0</v>
      </c>
      <c r="M399" s="56">
        <v>3</v>
      </c>
      <c r="N399" s="56">
        <v>0</v>
      </c>
      <c r="O399" s="56">
        <v>1</v>
      </c>
      <c r="P399" s="56">
        <v>1</v>
      </c>
      <c r="Q399" s="56">
        <v>0</v>
      </c>
      <c r="R399" s="56">
        <v>189542666.1</v>
      </c>
      <c r="S399" s="56">
        <v>22</v>
      </c>
      <c r="T399" s="56">
        <v>145774969.5</v>
      </c>
      <c r="U399" s="56">
        <v>0</v>
      </c>
      <c r="V399" s="56">
        <v>0</v>
      </c>
      <c r="W399" s="56">
        <v>4767963.09</v>
      </c>
      <c r="X399" s="56">
        <v>0</v>
      </c>
      <c r="Y399" s="55" t="s">
        <v>272</v>
      </c>
    </row>
    <row r="400" spans="1:25">
      <c r="A400" s="55" t="s">
        <v>944</v>
      </c>
      <c r="B400" s="56">
        <v>67</v>
      </c>
      <c r="C400" s="56">
        <v>0</v>
      </c>
      <c r="D400" s="56">
        <v>0</v>
      </c>
      <c r="F400" s="56">
        <v>1035351.082</v>
      </c>
      <c r="G400" s="56">
        <v>1655064.82</v>
      </c>
      <c r="H400" s="56">
        <v>0</v>
      </c>
      <c r="I400" s="56">
        <v>1202445.9107</v>
      </c>
      <c r="J400" s="56">
        <v>0</v>
      </c>
      <c r="K400" s="56">
        <v>1.5</v>
      </c>
      <c r="L400" s="56">
        <v>0</v>
      </c>
      <c r="M400" s="56">
        <v>1</v>
      </c>
      <c r="N400" s="56">
        <v>0</v>
      </c>
      <c r="O400" s="56">
        <v>1</v>
      </c>
      <c r="P400" s="56">
        <v>1</v>
      </c>
      <c r="Q400" s="56">
        <v>1655064.82</v>
      </c>
      <c r="R400" s="56">
        <v>4186120.73</v>
      </c>
      <c r="S400" s="56">
        <v>43</v>
      </c>
      <c r="T400" s="56">
        <v>1655064.82</v>
      </c>
      <c r="U400" s="56">
        <v>0</v>
      </c>
      <c r="V400" s="56">
        <v>0</v>
      </c>
      <c r="W400" s="56">
        <v>1202445.91</v>
      </c>
      <c r="X400" s="56">
        <v>1655064.82</v>
      </c>
      <c r="Y400" s="55" t="s">
        <v>272</v>
      </c>
    </row>
    <row r="401" spans="1:25">
      <c r="A401" s="55" t="s">
        <v>945</v>
      </c>
      <c r="B401" s="56">
        <v>1</v>
      </c>
      <c r="C401" s="56">
        <v>0</v>
      </c>
      <c r="D401" s="56">
        <v>0</v>
      </c>
      <c r="F401" s="56">
        <v>773399.8671</v>
      </c>
      <c r="G401" s="56">
        <v>739120.62</v>
      </c>
      <c r="H401" s="56">
        <v>0</v>
      </c>
      <c r="I401" s="56">
        <v>773399.8671</v>
      </c>
      <c r="J401" s="56">
        <v>0</v>
      </c>
      <c r="K401" s="56">
        <v>2</v>
      </c>
      <c r="N401" s="56">
        <v>0</v>
      </c>
      <c r="O401" s="56">
        <v>1</v>
      </c>
      <c r="P401" s="56">
        <v>1</v>
      </c>
      <c r="Q401" s="56">
        <v>739120.62</v>
      </c>
      <c r="R401" s="56">
        <v>754308.03</v>
      </c>
      <c r="S401" s="56">
        <v>2</v>
      </c>
      <c r="T401" s="56">
        <v>739120.62</v>
      </c>
      <c r="U401" s="56">
        <v>0</v>
      </c>
      <c r="V401" s="56">
        <v>0</v>
      </c>
      <c r="W401" s="56">
        <v>773399.87</v>
      </c>
      <c r="X401" s="56">
        <v>739120.62</v>
      </c>
      <c r="Y401" s="55" t="s">
        <v>272</v>
      </c>
    </row>
    <row r="402" spans="1:25">
      <c r="A402" s="55" t="s">
        <v>946</v>
      </c>
      <c r="B402" s="56">
        <v>35</v>
      </c>
      <c r="C402" s="56">
        <v>0</v>
      </c>
      <c r="D402" s="56">
        <v>0</v>
      </c>
      <c r="F402" s="56">
        <v>1559119.134</v>
      </c>
      <c r="G402" s="56">
        <v>12310244.23</v>
      </c>
      <c r="H402" s="56">
        <v>0</v>
      </c>
      <c r="I402" s="56">
        <v>1559119.134</v>
      </c>
      <c r="J402" s="56">
        <v>0</v>
      </c>
      <c r="K402" s="56">
        <v>3</v>
      </c>
      <c r="L402" s="56">
        <v>0</v>
      </c>
      <c r="M402" s="56">
        <v>1</v>
      </c>
      <c r="N402" s="56">
        <v>0</v>
      </c>
      <c r="O402" s="56">
        <v>1</v>
      </c>
      <c r="P402" s="56">
        <v>1</v>
      </c>
      <c r="Q402" s="56">
        <v>12310244.23</v>
      </c>
      <c r="R402" s="56">
        <v>14862264.26</v>
      </c>
      <c r="S402" s="56">
        <v>22</v>
      </c>
      <c r="T402" s="56">
        <v>12310244.23</v>
      </c>
      <c r="U402" s="56">
        <v>0</v>
      </c>
      <c r="V402" s="56">
        <v>0</v>
      </c>
      <c r="W402" s="56">
        <v>1559119.13</v>
      </c>
      <c r="X402" s="56">
        <v>12310244.23</v>
      </c>
      <c r="Y402" s="55" t="s">
        <v>272</v>
      </c>
    </row>
    <row r="403" spans="1:25">
      <c r="A403" s="55" t="s">
        <v>947</v>
      </c>
      <c r="B403" s="56">
        <v>20</v>
      </c>
      <c r="C403" s="56">
        <v>0</v>
      </c>
      <c r="D403" s="56">
        <v>0</v>
      </c>
      <c r="E403" s="56">
        <v>7450000</v>
      </c>
      <c r="F403" s="56">
        <v>4848738.305</v>
      </c>
      <c r="G403" s="56">
        <v>145380330.18</v>
      </c>
      <c r="H403" s="56">
        <v>7450000</v>
      </c>
      <c r="I403" s="56">
        <v>6830604.617959999</v>
      </c>
      <c r="J403" s="56">
        <v>0</v>
      </c>
      <c r="K403" s="56">
        <v>16</v>
      </c>
      <c r="L403" s="56">
        <v>0</v>
      </c>
      <c r="M403" s="56">
        <v>1</v>
      </c>
      <c r="N403" s="56">
        <v>1</v>
      </c>
      <c r="O403" s="56">
        <v>2</v>
      </c>
      <c r="P403" s="56">
        <v>2</v>
      </c>
      <c r="Q403" s="56">
        <v>145380330.18</v>
      </c>
      <c r="R403" s="56">
        <v>285001062.6899999</v>
      </c>
      <c r="S403" s="56">
        <v>41</v>
      </c>
      <c r="T403" s="56">
        <v>145380330.18</v>
      </c>
      <c r="U403" s="56">
        <v>0</v>
      </c>
      <c r="V403" s="56">
        <v>0</v>
      </c>
      <c r="W403" s="56">
        <v>6830604.62</v>
      </c>
      <c r="X403" s="56">
        <v>152830330.18</v>
      </c>
      <c r="Y403" s="55" t="s">
        <v>272</v>
      </c>
    </row>
    <row r="404" spans="1:25">
      <c r="A404" s="55" t="s">
        <v>948</v>
      </c>
      <c r="B404" s="56">
        <v>4</v>
      </c>
      <c r="C404" s="56">
        <v>0</v>
      </c>
      <c r="D404" s="56">
        <v>0</v>
      </c>
      <c r="E404" s="56">
        <v>14900000</v>
      </c>
      <c r="F404" s="56">
        <v>328240.9778</v>
      </c>
      <c r="G404" s="56">
        <v>0</v>
      </c>
      <c r="H404" s="56">
        <v>29204000</v>
      </c>
      <c r="I404" s="56">
        <v>0</v>
      </c>
      <c r="J404" s="56">
        <v>2051976.68</v>
      </c>
      <c r="K404" s="56">
        <v>51.5</v>
      </c>
      <c r="N404" s="56">
        <v>0</v>
      </c>
      <c r="O404" s="56">
        <v>1</v>
      </c>
      <c r="P404" s="56">
        <v>1</v>
      </c>
      <c r="Q404" s="56">
        <v>2051976.68</v>
      </c>
      <c r="R404" s="56">
        <v>29204000</v>
      </c>
      <c r="S404" s="56">
        <v>96</v>
      </c>
      <c r="T404" s="56">
        <v>2051976.68</v>
      </c>
      <c r="U404" s="56">
        <v>0</v>
      </c>
      <c r="V404" s="56">
        <v>0</v>
      </c>
      <c r="W404" s="56">
        <v>102598.83</v>
      </c>
      <c r="X404" s="56">
        <v>29204000</v>
      </c>
      <c r="Y404" s="55" t="s">
        <v>272</v>
      </c>
    </row>
    <row r="405" spans="1:25">
      <c r="A405" s="55" t="s">
        <v>949</v>
      </c>
      <c r="B405" s="56">
        <v>10</v>
      </c>
      <c r="C405" s="56">
        <v>0</v>
      </c>
      <c r="D405" s="56">
        <v>1</v>
      </c>
      <c r="E405" s="56">
        <v>14900000</v>
      </c>
      <c r="F405" s="56">
        <v>321634.1913</v>
      </c>
      <c r="G405" s="56">
        <v>0</v>
      </c>
      <c r="H405" s="56">
        <v>14900000</v>
      </c>
      <c r="I405" s="56">
        <v>0</v>
      </c>
      <c r="J405" s="56">
        <v>7931287.6</v>
      </c>
      <c r="K405" s="56">
        <v>48</v>
      </c>
      <c r="L405" s="56">
        <v>105</v>
      </c>
      <c r="M405" s="56">
        <v>3</v>
      </c>
      <c r="N405" s="56">
        <v>178</v>
      </c>
      <c r="O405" s="56">
        <v>5</v>
      </c>
      <c r="P405" s="56">
        <v>5</v>
      </c>
      <c r="Q405" s="56">
        <v>11309771.36</v>
      </c>
      <c r="R405" s="56">
        <v>89819414.14</v>
      </c>
      <c r="S405" s="56">
        <v>54</v>
      </c>
      <c r="T405" s="56">
        <v>11309771.36</v>
      </c>
      <c r="U405" s="56">
        <v>1</v>
      </c>
      <c r="V405" s="56">
        <v>0</v>
      </c>
      <c r="W405" s="56">
        <v>396564.38</v>
      </c>
      <c r="X405" s="56">
        <v>14900000</v>
      </c>
      <c r="Y405" s="55" t="s">
        <v>546</v>
      </c>
    </row>
    <row r="406" spans="1:25">
      <c r="A406" s="55" t="s">
        <v>950</v>
      </c>
      <c r="B406" s="56">
        <v>5</v>
      </c>
      <c r="C406" s="56">
        <v>0</v>
      </c>
      <c r="D406" s="56">
        <v>0</v>
      </c>
      <c r="F406" s="56">
        <v>109866.981</v>
      </c>
      <c r="G406" s="56">
        <v>81159.5</v>
      </c>
      <c r="H406" s="56">
        <v>0</v>
      </c>
      <c r="I406" s="56">
        <v>109866.981</v>
      </c>
      <c r="J406" s="56">
        <v>0</v>
      </c>
      <c r="K406" s="56">
        <v>5</v>
      </c>
      <c r="L406" s="56">
        <v>0</v>
      </c>
      <c r="M406" s="56">
        <v>1</v>
      </c>
      <c r="N406" s="56">
        <v>0</v>
      </c>
      <c r="O406" s="56">
        <v>1</v>
      </c>
      <c r="P406" s="56">
        <v>1</v>
      </c>
      <c r="Q406" s="56">
        <v>81159.5</v>
      </c>
      <c r="R406" s="56">
        <v>288112.36</v>
      </c>
      <c r="S406" s="56">
        <v>5</v>
      </c>
      <c r="T406" s="56">
        <v>81159.5</v>
      </c>
      <c r="U406" s="56">
        <v>0</v>
      </c>
      <c r="V406" s="56">
        <v>0</v>
      </c>
      <c r="W406" s="56">
        <v>109866.98</v>
      </c>
      <c r="X406" s="56">
        <v>81159.5</v>
      </c>
      <c r="Y406" s="55" t="s">
        <v>272</v>
      </c>
    </row>
    <row r="407" spans="1:25">
      <c r="A407" s="55" t="s">
        <v>951</v>
      </c>
      <c r="B407" s="56">
        <v>7</v>
      </c>
      <c r="C407" s="56">
        <v>0</v>
      </c>
      <c r="D407" s="56">
        <v>0</v>
      </c>
      <c r="E407" s="56">
        <v>244360000</v>
      </c>
      <c r="F407" s="56">
        <v>6610759.002</v>
      </c>
      <c r="G407" s="56">
        <v>0</v>
      </c>
      <c r="H407" s="56">
        <v>326310000</v>
      </c>
      <c r="I407" s="56">
        <v>0</v>
      </c>
      <c r="J407" s="56">
        <v>145190613.12</v>
      </c>
      <c r="K407" s="56">
        <v>132.33</v>
      </c>
      <c r="N407" s="56">
        <v>0</v>
      </c>
      <c r="O407" s="56">
        <v>1</v>
      </c>
      <c r="P407" s="56">
        <v>1</v>
      </c>
      <c r="Q407" s="56">
        <v>145190613.12</v>
      </c>
      <c r="R407" s="56">
        <v>344064413.86</v>
      </c>
      <c r="S407" s="56">
        <v>167</v>
      </c>
      <c r="T407" s="56">
        <v>145190613.12</v>
      </c>
      <c r="U407" s="56">
        <v>0</v>
      </c>
      <c r="V407" s="56">
        <v>0</v>
      </c>
      <c r="W407" s="56">
        <v>7259530.66</v>
      </c>
      <c r="X407" s="56">
        <v>326310000</v>
      </c>
      <c r="Y407" s="55" t="s">
        <v>272</v>
      </c>
    </row>
    <row r="408" spans="1:25">
      <c r="A408" s="55" t="s">
        <v>952</v>
      </c>
      <c r="B408" s="56">
        <v>285</v>
      </c>
      <c r="C408" s="56">
        <v>0</v>
      </c>
      <c r="D408" s="56">
        <v>0</v>
      </c>
      <c r="F408" s="56">
        <v>1044267.018</v>
      </c>
      <c r="G408" s="56">
        <v>3679954.02</v>
      </c>
      <c r="H408" s="56">
        <v>0</v>
      </c>
      <c r="I408" s="56">
        <v>1706484.46253</v>
      </c>
      <c r="J408" s="56">
        <v>0</v>
      </c>
      <c r="K408" s="56">
        <v>2.5</v>
      </c>
      <c r="L408" s="56">
        <v>0</v>
      </c>
      <c r="M408" s="56">
        <v>2</v>
      </c>
      <c r="N408" s="56">
        <v>0</v>
      </c>
      <c r="O408" s="56">
        <v>1</v>
      </c>
      <c r="P408" s="56">
        <v>2</v>
      </c>
      <c r="Q408" s="56">
        <v>4009892.55</v>
      </c>
      <c r="R408" s="56">
        <v>27747016.91</v>
      </c>
      <c r="S408" s="56">
        <v>36</v>
      </c>
      <c r="T408" s="56">
        <v>4009892.55</v>
      </c>
      <c r="U408" s="56">
        <v>0</v>
      </c>
      <c r="V408" s="56">
        <v>0</v>
      </c>
      <c r="W408" s="56">
        <v>1715997.57</v>
      </c>
      <c r="X408" s="56">
        <v>3679954.02</v>
      </c>
      <c r="Y408" s="55" t="s">
        <v>272</v>
      </c>
    </row>
    <row r="409" spans="1:25">
      <c r="A409" s="55" t="s">
        <v>953</v>
      </c>
      <c r="B409" s="56">
        <v>40</v>
      </c>
      <c r="C409" s="56">
        <v>0</v>
      </c>
      <c r="D409" s="56">
        <v>0</v>
      </c>
      <c r="F409" s="56">
        <v>2028213.291</v>
      </c>
      <c r="G409" s="56">
        <v>13262099.2</v>
      </c>
      <c r="H409" s="56">
        <v>0</v>
      </c>
      <c r="I409" s="56">
        <v>2238890.4807</v>
      </c>
      <c r="J409" s="56">
        <v>0</v>
      </c>
      <c r="K409" s="56">
        <v>3.5</v>
      </c>
      <c r="L409" s="56">
        <v>0</v>
      </c>
      <c r="M409" s="56">
        <v>1</v>
      </c>
      <c r="N409" s="56">
        <v>0</v>
      </c>
      <c r="O409" s="56">
        <v>1</v>
      </c>
      <c r="P409" s="56">
        <v>1</v>
      </c>
      <c r="Q409" s="56">
        <v>13262099.2</v>
      </c>
      <c r="R409" s="56">
        <v>21235590.26</v>
      </c>
      <c r="S409" s="56">
        <v>41</v>
      </c>
      <c r="T409" s="56">
        <v>13262099.2</v>
      </c>
      <c r="U409" s="56">
        <v>0</v>
      </c>
      <c r="V409" s="56">
        <v>0</v>
      </c>
      <c r="W409" s="56">
        <v>2238890.48</v>
      </c>
      <c r="X409" s="56">
        <v>13262099.2</v>
      </c>
      <c r="Y409" s="55" t="s">
        <v>272</v>
      </c>
    </row>
    <row r="410" spans="1:25">
      <c r="A410" s="55" t="s">
        <v>954</v>
      </c>
      <c r="B410" s="56">
        <v>2</v>
      </c>
      <c r="C410" s="56">
        <v>0</v>
      </c>
      <c r="D410" s="56">
        <v>0</v>
      </c>
      <c r="G410" s="56">
        <v>0</v>
      </c>
      <c r="H410" s="56">
        <v>0</v>
      </c>
      <c r="I410" s="56">
        <v>0</v>
      </c>
      <c r="J410" s="56">
        <v>0</v>
      </c>
      <c r="M410" s="56">
        <v>1</v>
      </c>
      <c r="Q410" s="56">
        <v>0</v>
      </c>
      <c r="R410" s="56">
        <v>6912929.5</v>
      </c>
      <c r="S410" s="56">
        <v>25</v>
      </c>
      <c r="T410" s="56">
        <v>0</v>
      </c>
      <c r="U410" s="56">
        <v>0</v>
      </c>
      <c r="V410" s="56">
        <v>0</v>
      </c>
      <c r="W410" s="56">
        <v>0</v>
      </c>
      <c r="X410" s="56">
        <v>0</v>
      </c>
      <c r="Y410" s="55" t="s">
        <v>272</v>
      </c>
    </row>
    <row r="411" spans="1:25">
      <c r="A411" s="55" t="s">
        <v>955</v>
      </c>
      <c r="B411" s="56">
        <v>3</v>
      </c>
      <c r="C411" s="56">
        <v>0</v>
      </c>
      <c r="D411" s="56">
        <v>0</v>
      </c>
      <c r="E411" s="56">
        <v>74500000</v>
      </c>
      <c r="F411" s="56">
        <v>1657700.858</v>
      </c>
      <c r="G411" s="56">
        <v>0</v>
      </c>
      <c r="H411" s="56">
        <v>74500000</v>
      </c>
      <c r="I411" s="56">
        <v>0</v>
      </c>
      <c r="J411" s="56">
        <v>15394691.76</v>
      </c>
      <c r="K411" s="56">
        <v>52</v>
      </c>
      <c r="N411" s="56">
        <v>0</v>
      </c>
      <c r="O411" s="56">
        <v>1</v>
      </c>
      <c r="P411" s="56">
        <v>1</v>
      </c>
      <c r="Q411" s="56">
        <v>15394691.76</v>
      </c>
      <c r="R411" s="56">
        <v>74500000</v>
      </c>
      <c r="S411" s="56">
        <v>76</v>
      </c>
      <c r="T411" s="56">
        <v>15394691.76</v>
      </c>
      <c r="U411" s="56">
        <v>0</v>
      </c>
      <c r="V411" s="56">
        <v>0</v>
      </c>
      <c r="W411" s="56">
        <v>769734.59</v>
      </c>
      <c r="X411" s="56">
        <v>74500000</v>
      </c>
      <c r="Y411" s="55" t="s">
        <v>272</v>
      </c>
    </row>
    <row r="412" spans="1:25">
      <c r="A412" s="55" t="s">
        <v>956</v>
      </c>
      <c r="B412" s="56">
        <v>17</v>
      </c>
      <c r="C412" s="56">
        <v>0</v>
      </c>
      <c r="D412" s="56">
        <v>0</v>
      </c>
      <c r="E412" s="56">
        <v>447000000</v>
      </c>
      <c r="F412" s="56">
        <v>14025008.72</v>
      </c>
      <c r="G412" s="56">
        <v>44253293.56</v>
      </c>
      <c r="H412" s="56">
        <v>625800000</v>
      </c>
      <c r="I412" s="56">
        <v>2752605.276</v>
      </c>
      <c r="J412" s="56">
        <v>438861109.1899999</v>
      </c>
      <c r="K412" s="56">
        <v>32.83</v>
      </c>
      <c r="L412" s="56">
        <v>0</v>
      </c>
      <c r="M412" s="56">
        <v>1</v>
      </c>
      <c r="N412" s="56">
        <v>0</v>
      </c>
      <c r="O412" s="56">
        <v>1</v>
      </c>
      <c r="P412" s="56">
        <v>1</v>
      </c>
      <c r="Q412" s="56">
        <v>483114402.7499999</v>
      </c>
      <c r="R412" s="56">
        <v>4478967296.720001</v>
      </c>
      <c r="S412" s="56">
        <v>124</v>
      </c>
      <c r="T412" s="56">
        <v>2870139503.36</v>
      </c>
      <c r="U412" s="56">
        <v>0</v>
      </c>
      <c r="V412" s="56">
        <v>0</v>
      </c>
      <c r="W412" s="56">
        <v>76192685.86</v>
      </c>
      <c r="X412" s="56">
        <v>670053293.5599999</v>
      </c>
      <c r="Y412" s="55" t="s">
        <v>272</v>
      </c>
    </row>
    <row r="413" spans="1:25">
      <c r="A413" s="55" t="s">
        <v>957</v>
      </c>
      <c r="B413" s="56">
        <v>5</v>
      </c>
      <c r="C413" s="56">
        <v>0</v>
      </c>
      <c r="D413" s="56">
        <v>0</v>
      </c>
      <c r="E413" s="56">
        <v>312900000</v>
      </c>
      <c r="F413" s="56">
        <v>6519636.511</v>
      </c>
      <c r="G413" s="56">
        <v>0</v>
      </c>
      <c r="H413" s="56">
        <v>312900000</v>
      </c>
      <c r="I413" s="56">
        <v>0</v>
      </c>
      <c r="J413" s="56">
        <v>76552240.31999999</v>
      </c>
      <c r="K413" s="56">
        <v>130</v>
      </c>
      <c r="M413" s="56">
        <v>1</v>
      </c>
      <c r="N413" s="56">
        <v>0</v>
      </c>
      <c r="O413" s="56">
        <v>1</v>
      </c>
      <c r="P413" s="56">
        <v>1</v>
      </c>
      <c r="Q413" s="56">
        <v>76552240.31999999</v>
      </c>
      <c r="R413" s="56">
        <v>365522322.55</v>
      </c>
      <c r="S413" s="56">
        <v>140</v>
      </c>
      <c r="T413" s="56">
        <v>76552240.31999999</v>
      </c>
      <c r="U413" s="56">
        <v>0</v>
      </c>
      <c r="V413" s="56">
        <v>0</v>
      </c>
      <c r="W413" s="56">
        <v>3827612.02</v>
      </c>
      <c r="X413" s="56">
        <v>312900000</v>
      </c>
      <c r="Y413" s="55" t="s">
        <v>272</v>
      </c>
    </row>
    <row r="414" spans="1:25">
      <c r="A414" s="55" t="s">
        <v>958</v>
      </c>
      <c r="B414" s="56">
        <v>2</v>
      </c>
      <c r="C414" s="56">
        <v>0</v>
      </c>
      <c r="D414" s="56">
        <v>0</v>
      </c>
      <c r="G414" s="56">
        <v>0</v>
      </c>
      <c r="H414" s="56">
        <v>0</v>
      </c>
      <c r="I414" s="56">
        <v>0</v>
      </c>
      <c r="J414" s="56">
        <v>0</v>
      </c>
      <c r="Q414" s="56">
        <v>0</v>
      </c>
      <c r="R414" s="56">
        <v>664244.98</v>
      </c>
      <c r="S414" s="56">
        <v>110</v>
      </c>
      <c r="T414" s="56">
        <v>0</v>
      </c>
      <c r="U414" s="56">
        <v>0</v>
      </c>
      <c r="V414" s="56">
        <v>0</v>
      </c>
      <c r="W414" s="56">
        <v>0</v>
      </c>
      <c r="X414" s="56">
        <v>0</v>
      </c>
      <c r="Y414" s="55" t="s">
        <v>272</v>
      </c>
    </row>
    <row r="415" spans="1:25">
      <c r="A415" s="55" t="s">
        <v>959</v>
      </c>
      <c r="B415" s="56">
        <v>53</v>
      </c>
      <c r="C415" s="56">
        <v>0</v>
      </c>
      <c r="D415" s="56">
        <v>5</v>
      </c>
      <c r="F415" s="56">
        <v>1367697.529</v>
      </c>
      <c r="G415" s="56">
        <v>0</v>
      </c>
      <c r="H415" s="56">
        <v>0</v>
      </c>
      <c r="I415" s="56">
        <v>0</v>
      </c>
      <c r="J415" s="56">
        <v>0</v>
      </c>
      <c r="K415" s="56">
        <v>12</v>
      </c>
      <c r="L415" s="56">
        <v>148</v>
      </c>
      <c r="M415" s="56">
        <v>1</v>
      </c>
      <c r="N415" s="56">
        <v>149</v>
      </c>
      <c r="O415" s="56">
        <v>5</v>
      </c>
      <c r="P415" s="56">
        <v>5</v>
      </c>
      <c r="Q415" s="56">
        <v>16804195.46</v>
      </c>
      <c r="R415" s="56">
        <v>53456594.41</v>
      </c>
      <c r="S415" s="56">
        <v>29</v>
      </c>
      <c r="T415" s="56">
        <v>39545160.34</v>
      </c>
      <c r="U415" s="56">
        <v>0</v>
      </c>
      <c r="V415" s="56">
        <v>0</v>
      </c>
      <c r="W415" s="56">
        <v>1367697.53</v>
      </c>
      <c r="X415" s="56">
        <v>0</v>
      </c>
      <c r="Y415" s="55" t="s">
        <v>546</v>
      </c>
    </row>
    <row r="416" spans="1:25">
      <c r="A416" s="55" t="s">
        <v>960</v>
      </c>
      <c r="B416" s="56">
        <v>27</v>
      </c>
      <c r="C416" s="56">
        <v>0</v>
      </c>
      <c r="D416" s="56">
        <v>0</v>
      </c>
      <c r="E416" s="56">
        <v>62980939.63</v>
      </c>
      <c r="F416" s="56">
        <v>20361187.52</v>
      </c>
      <c r="G416" s="56">
        <v>2544084.32</v>
      </c>
      <c r="H416" s="56">
        <v>106535001.49</v>
      </c>
      <c r="I416" s="56">
        <v>3410076.8223</v>
      </c>
      <c r="J416" s="56">
        <v>46263107.06</v>
      </c>
      <c r="K416" s="56">
        <v>39.93</v>
      </c>
      <c r="L416" s="56">
        <v>66</v>
      </c>
      <c r="M416" s="56">
        <v>2</v>
      </c>
      <c r="N416" s="56">
        <v>4</v>
      </c>
      <c r="O416" s="56">
        <v>2</v>
      </c>
      <c r="P416" s="56">
        <v>2</v>
      </c>
      <c r="Q416" s="56">
        <v>48807191.38</v>
      </c>
      <c r="R416" s="56">
        <v>5622507732.46</v>
      </c>
      <c r="S416" s="56">
        <v>130</v>
      </c>
      <c r="T416" s="56">
        <v>4195138372.28</v>
      </c>
      <c r="U416" s="56">
        <v>1</v>
      </c>
      <c r="V416" s="56">
        <v>0</v>
      </c>
      <c r="W416" s="56">
        <v>68214176.51000001</v>
      </c>
      <c r="X416" s="56">
        <v>109079085.81</v>
      </c>
      <c r="Y416" s="55" t="s">
        <v>272</v>
      </c>
    </row>
    <row r="417" spans="1:25">
      <c r="A417" s="55" t="s">
        <v>961</v>
      </c>
      <c r="B417" s="56">
        <v>278</v>
      </c>
      <c r="C417" s="56">
        <v>0</v>
      </c>
      <c r="D417" s="56">
        <v>0</v>
      </c>
      <c r="F417" s="56">
        <v>81961913.66</v>
      </c>
      <c r="G417" s="56">
        <v>1199202.3</v>
      </c>
      <c r="H417" s="56">
        <v>0</v>
      </c>
      <c r="I417" s="56">
        <v>1057774.5974</v>
      </c>
      <c r="J417" s="56">
        <v>0</v>
      </c>
      <c r="K417" s="56">
        <v>11.14</v>
      </c>
      <c r="L417" s="56">
        <v>0</v>
      </c>
      <c r="M417" s="56">
        <v>5</v>
      </c>
      <c r="N417" s="56">
        <v>0</v>
      </c>
      <c r="O417" s="56">
        <v>1</v>
      </c>
      <c r="P417" s="56">
        <v>5</v>
      </c>
      <c r="Q417" s="56">
        <v>2386600.7</v>
      </c>
      <c r="R417" s="56">
        <v>1820546458.93</v>
      </c>
      <c r="S417" s="56">
        <v>174</v>
      </c>
      <c r="T417" s="56">
        <v>1393032596.9</v>
      </c>
      <c r="U417" s="56">
        <v>0</v>
      </c>
      <c r="V417" s="56">
        <v>0</v>
      </c>
      <c r="W417" s="56">
        <v>103681830.82</v>
      </c>
      <c r="X417" s="56">
        <v>1199202.3</v>
      </c>
      <c r="Y417" s="55" t="s">
        <v>272</v>
      </c>
    </row>
    <row r="418" spans="1:25">
      <c r="A418" s="55" t="s">
        <v>962</v>
      </c>
      <c r="B418" s="56">
        <v>5</v>
      </c>
      <c r="C418" s="56">
        <v>0</v>
      </c>
      <c r="D418" s="56">
        <v>0</v>
      </c>
      <c r="E418" s="56">
        <v>26820000</v>
      </c>
      <c r="F418" s="56">
        <v>725571.11</v>
      </c>
      <c r="G418" s="56">
        <v>0</v>
      </c>
      <c r="H418" s="56">
        <v>41720000</v>
      </c>
      <c r="I418" s="56">
        <v>0</v>
      </c>
      <c r="J418" s="56">
        <v>8819012.16</v>
      </c>
      <c r="K418" s="56">
        <v>25.67</v>
      </c>
      <c r="M418" s="56">
        <v>1</v>
      </c>
      <c r="N418" s="56">
        <v>0</v>
      </c>
      <c r="O418" s="56">
        <v>1</v>
      </c>
      <c r="P418" s="56">
        <v>1</v>
      </c>
      <c r="Q418" s="56">
        <v>8819012.16</v>
      </c>
      <c r="R418" s="56">
        <v>41720000</v>
      </c>
      <c r="S418" s="56">
        <v>70</v>
      </c>
      <c r="T418" s="56">
        <v>8819012.16</v>
      </c>
      <c r="U418" s="56">
        <v>0</v>
      </c>
      <c r="V418" s="56">
        <v>0</v>
      </c>
      <c r="W418" s="56">
        <v>440950.61</v>
      </c>
      <c r="X418" s="56">
        <v>41720000</v>
      </c>
      <c r="Y418" s="55" t="s">
        <v>272</v>
      </c>
    </row>
    <row r="419" spans="1:25">
      <c r="A419" s="55" t="s">
        <v>963</v>
      </c>
      <c r="B419" s="56">
        <v>18</v>
      </c>
      <c r="C419" s="56">
        <v>0</v>
      </c>
      <c r="D419" s="56">
        <v>0</v>
      </c>
      <c r="F419" s="56">
        <v>467638.8369</v>
      </c>
      <c r="G419" s="56">
        <v>400770.32</v>
      </c>
      <c r="H419" s="56">
        <v>0</v>
      </c>
      <c r="I419" s="56">
        <v>601865.37074</v>
      </c>
      <c r="J419" s="56">
        <v>0</v>
      </c>
      <c r="K419" s="56">
        <v>19.67</v>
      </c>
      <c r="L419" s="56">
        <v>0</v>
      </c>
      <c r="M419" s="56">
        <v>1</v>
      </c>
      <c r="N419" s="56">
        <v>0</v>
      </c>
      <c r="O419" s="56">
        <v>1</v>
      </c>
      <c r="P419" s="56">
        <v>1</v>
      </c>
      <c r="Q419" s="56">
        <v>400770.32</v>
      </c>
      <c r="R419" s="56">
        <v>22115314.57</v>
      </c>
      <c r="S419" s="56">
        <v>55</v>
      </c>
      <c r="T419" s="56">
        <v>400770.32</v>
      </c>
      <c r="U419" s="56">
        <v>0</v>
      </c>
      <c r="V419" s="56">
        <v>0</v>
      </c>
      <c r="W419" s="56">
        <v>601865.37</v>
      </c>
      <c r="X419" s="56">
        <v>400770.32</v>
      </c>
      <c r="Y419" s="55" t="s">
        <v>272</v>
      </c>
    </row>
    <row r="420" spans="1:25">
      <c r="A420" s="55" t="s">
        <v>964</v>
      </c>
      <c r="B420" s="56">
        <v>19</v>
      </c>
      <c r="C420" s="56">
        <v>0</v>
      </c>
      <c r="D420" s="56">
        <v>0</v>
      </c>
      <c r="E420" s="56">
        <v>205620000</v>
      </c>
      <c r="F420" s="56">
        <v>44603096.88</v>
      </c>
      <c r="G420" s="56">
        <v>0</v>
      </c>
      <c r="H420" s="56">
        <v>608545800</v>
      </c>
      <c r="I420" s="56">
        <v>0</v>
      </c>
      <c r="J420" s="56">
        <v>29637673.38</v>
      </c>
      <c r="K420" s="56">
        <v>112.6</v>
      </c>
      <c r="M420" s="56">
        <v>1</v>
      </c>
      <c r="N420" s="56">
        <v>0</v>
      </c>
      <c r="O420" s="56">
        <v>1</v>
      </c>
      <c r="P420" s="56">
        <v>1</v>
      </c>
      <c r="Q420" s="56">
        <v>29637673.38</v>
      </c>
      <c r="R420" s="56">
        <v>5122380241.2</v>
      </c>
      <c r="S420" s="56">
        <v>206</v>
      </c>
      <c r="T420" s="56">
        <v>1106973602.78</v>
      </c>
      <c r="U420" s="56">
        <v>0</v>
      </c>
      <c r="V420" s="56">
        <v>0</v>
      </c>
      <c r="W420" s="56">
        <v>60248195.91</v>
      </c>
      <c r="X420" s="56">
        <v>608545800</v>
      </c>
      <c r="Y420" s="55" t="s">
        <v>272</v>
      </c>
    </row>
    <row r="421" spans="1:25">
      <c r="A421" s="55" t="s">
        <v>965</v>
      </c>
      <c r="B421" s="56">
        <v>3</v>
      </c>
      <c r="C421" s="56">
        <v>0</v>
      </c>
      <c r="D421" s="56">
        <v>1</v>
      </c>
      <c r="E421" s="56">
        <v>558750000</v>
      </c>
      <c r="F421" s="56">
        <v>10439922.02</v>
      </c>
      <c r="G421" s="56">
        <v>0</v>
      </c>
      <c r="H421" s="56">
        <v>558750000</v>
      </c>
      <c r="I421" s="56">
        <v>0</v>
      </c>
      <c r="J421" s="56">
        <v>29815546.6</v>
      </c>
      <c r="K421" s="56">
        <v>143</v>
      </c>
      <c r="N421" s="56">
        <v>2330</v>
      </c>
      <c r="O421" s="56">
        <v>5</v>
      </c>
      <c r="P421" s="56">
        <v>5</v>
      </c>
      <c r="Q421" s="56">
        <v>30295315.63</v>
      </c>
      <c r="R421" s="56">
        <v>1527250000</v>
      </c>
      <c r="S421" s="56">
        <v>175</v>
      </c>
      <c r="T421" s="56">
        <v>30295315.63</v>
      </c>
      <c r="U421" s="56">
        <v>0</v>
      </c>
      <c r="V421" s="56">
        <v>0</v>
      </c>
      <c r="W421" s="56">
        <v>1490777.33</v>
      </c>
      <c r="X421" s="56">
        <v>558750000</v>
      </c>
      <c r="Y421" s="55" t="s">
        <v>546</v>
      </c>
    </row>
    <row r="422" spans="1:25">
      <c r="A422" s="55" t="s">
        <v>966</v>
      </c>
      <c r="B422" s="56">
        <v>2</v>
      </c>
      <c r="C422" s="56">
        <v>0</v>
      </c>
      <c r="D422" s="56">
        <v>0</v>
      </c>
      <c r="E422" s="56">
        <v>160920000</v>
      </c>
      <c r="F422" s="56">
        <v>2898830.795</v>
      </c>
      <c r="G422" s="56">
        <v>0</v>
      </c>
      <c r="H422" s="56">
        <v>160920000</v>
      </c>
      <c r="I422" s="56">
        <v>0</v>
      </c>
      <c r="J422" s="56">
        <v>20029974.12</v>
      </c>
      <c r="K422" s="56">
        <v>194</v>
      </c>
      <c r="M422" s="56">
        <v>1</v>
      </c>
      <c r="N422" s="56">
        <v>0</v>
      </c>
      <c r="O422" s="56">
        <v>1</v>
      </c>
      <c r="P422" s="56">
        <v>1</v>
      </c>
      <c r="Q422" s="56">
        <v>20029974.12</v>
      </c>
      <c r="R422" s="56">
        <v>160920000</v>
      </c>
      <c r="S422" s="56">
        <v>194</v>
      </c>
      <c r="T422" s="56">
        <v>20029974.12</v>
      </c>
      <c r="U422" s="56">
        <v>0</v>
      </c>
      <c r="V422" s="56">
        <v>0</v>
      </c>
      <c r="W422" s="56">
        <v>1001498.71</v>
      </c>
      <c r="X422" s="56">
        <v>160920000</v>
      </c>
      <c r="Y422" s="55" t="s">
        <v>272</v>
      </c>
    </row>
    <row r="423" spans="1:25">
      <c r="A423" s="55" t="s">
        <v>967</v>
      </c>
      <c r="B423" s="56">
        <v>3</v>
      </c>
      <c r="C423" s="56">
        <v>0</v>
      </c>
      <c r="D423" s="56">
        <v>0</v>
      </c>
      <c r="E423" s="56">
        <v>149000000</v>
      </c>
      <c r="F423" s="56">
        <v>1813927.775</v>
      </c>
      <c r="G423" s="56">
        <v>0</v>
      </c>
      <c r="H423" s="56">
        <v>193700000</v>
      </c>
      <c r="I423" s="56">
        <v>0</v>
      </c>
      <c r="J423" s="56">
        <v>338435.9</v>
      </c>
      <c r="K423" s="56">
        <v>50.5</v>
      </c>
      <c r="M423" s="56">
        <v>1</v>
      </c>
      <c r="N423" s="56">
        <v>0</v>
      </c>
      <c r="O423" s="56">
        <v>1</v>
      </c>
      <c r="P423" s="56">
        <v>1</v>
      </c>
      <c r="Q423" s="56">
        <v>338435.9</v>
      </c>
      <c r="R423" s="56">
        <v>268200000</v>
      </c>
      <c r="S423" s="56">
        <v>76</v>
      </c>
      <c r="T423" s="56">
        <v>338435.9</v>
      </c>
      <c r="U423" s="56">
        <v>0</v>
      </c>
      <c r="V423" s="56">
        <v>0</v>
      </c>
      <c r="W423" s="56">
        <v>16921.8</v>
      </c>
      <c r="X423" s="56">
        <v>193700000</v>
      </c>
      <c r="Y423" s="55" t="s">
        <v>272</v>
      </c>
    </row>
    <row r="424" spans="1:25">
      <c r="A424" s="55" t="s">
        <v>968</v>
      </c>
      <c r="B424" s="56">
        <v>4</v>
      </c>
      <c r="C424" s="56">
        <v>0</v>
      </c>
      <c r="D424" s="56">
        <v>0</v>
      </c>
      <c r="E424" s="56">
        <v>8195000</v>
      </c>
      <c r="F424" s="56">
        <v>176898.8052</v>
      </c>
      <c r="G424" s="56">
        <v>0</v>
      </c>
      <c r="H424" s="56">
        <v>24585000</v>
      </c>
      <c r="I424" s="56">
        <v>0</v>
      </c>
      <c r="J424" s="56">
        <v>3522150.79</v>
      </c>
      <c r="K424" s="56">
        <v>24.33</v>
      </c>
      <c r="M424" s="56">
        <v>1</v>
      </c>
      <c r="N424" s="56">
        <v>0</v>
      </c>
      <c r="O424" s="56">
        <v>1</v>
      </c>
      <c r="P424" s="56">
        <v>1</v>
      </c>
      <c r="Q424" s="56">
        <v>3522150.79</v>
      </c>
      <c r="R424" s="56">
        <v>38157922.56</v>
      </c>
      <c r="S424" s="56">
        <v>32</v>
      </c>
      <c r="T424" s="56">
        <v>3522150.79</v>
      </c>
      <c r="U424" s="56">
        <v>0</v>
      </c>
      <c r="V424" s="56">
        <v>0</v>
      </c>
      <c r="W424" s="56">
        <v>176107.54</v>
      </c>
      <c r="X424" s="56">
        <v>24585000</v>
      </c>
      <c r="Y424" s="55" t="s">
        <v>272</v>
      </c>
    </row>
    <row r="425" spans="1:25">
      <c r="A425" s="55" t="s">
        <v>969</v>
      </c>
      <c r="B425" s="56">
        <v>10</v>
      </c>
      <c r="C425" s="56">
        <v>0</v>
      </c>
      <c r="D425" s="56">
        <v>0</v>
      </c>
      <c r="E425" s="56">
        <v>28310000</v>
      </c>
      <c r="F425" s="56">
        <v>5878722.111</v>
      </c>
      <c r="G425" s="56">
        <v>0</v>
      </c>
      <c r="H425" s="56">
        <v>28310000</v>
      </c>
      <c r="I425" s="56">
        <v>0</v>
      </c>
      <c r="J425" s="56">
        <v>19963815.3</v>
      </c>
      <c r="K425" s="56">
        <v>41.67</v>
      </c>
      <c r="L425" s="56">
        <v>0</v>
      </c>
      <c r="N425" s="56">
        <v>0</v>
      </c>
      <c r="O425" s="56">
        <v>1</v>
      </c>
      <c r="P425" s="56">
        <v>1</v>
      </c>
      <c r="Q425" s="56">
        <v>19963815.3</v>
      </c>
      <c r="R425" s="56">
        <v>1258430239.06</v>
      </c>
      <c r="S425" s="56">
        <v>86</v>
      </c>
      <c r="T425" s="56">
        <v>302394849.68</v>
      </c>
      <c r="U425" s="56">
        <v>0</v>
      </c>
      <c r="V425" s="56">
        <v>0</v>
      </c>
      <c r="W425" s="56">
        <v>11681562.55</v>
      </c>
      <c r="X425" s="56">
        <v>28310000</v>
      </c>
      <c r="Y425" s="55" t="s">
        <v>272</v>
      </c>
    </row>
    <row r="426" spans="1:25">
      <c r="A426" s="55" t="s">
        <v>970</v>
      </c>
      <c r="B426" s="56">
        <v>2</v>
      </c>
      <c r="C426" s="56">
        <v>0</v>
      </c>
      <c r="D426" s="56">
        <v>0</v>
      </c>
      <c r="E426" s="56">
        <v>16390000</v>
      </c>
      <c r="F426" s="56">
        <v>353712.7518</v>
      </c>
      <c r="G426" s="56">
        <v>0</v>
      </c>
      <c r="H426" s="56">
        <v>16390000</v>
      </c>
      <c r="I426" s="56">
        <v>0</v>
      </c>
      <c r="J426" s="56">
        <v>5150</v>
      </c>
      <c r="K426" s="56">
        <v>40</v>
      </c>
      <c r="N426" s="56">
        <v>0</v>
      </c>
      <c r="O426" s="56">
        <v>1</v>
      </c>
      <c r="P426" s="56">
        <v>1</v>
      </c>
      <c r="Q426" s="56">
        <v>5150</v>
      </c>
      <c r="R426" s="56">
        <v>16390000</v>
      </c>
      <c r="S426" s="56">
        <v>49</v>
      </c>
      <c r="T426" s="56">
        <v>5150</v>
      </c>
      <c r="U426" s="56">
        <v>0</v>
      </c>
      <c r="V426" s="56">
        <v>0</v>
      </c>
      <c r="W426" s="56">
        <v>257.5</v>
      </c>
      <c r="X426" s="56">
        <v>16390000</v>
      </c>
      <c r="Y426" s="55" t="s">
        <v>272</v>
      </c>
    </row>
    <row r="427" spans="1:25">
      <c r="A427" s="55" t="s">
        <v>971</v>
      </c>
      <c r="B427" s="56">
        <v>21</v>
      </c>
      <c r="C427" s="56">
        <v>0</v>
      </c>
      <c r="D427" s="56">
        <v>0</v>
      </c>
      <c r="F427" s="56">
        <v>616883.0317000001</v>
      </c>
      <c r="G427" s="56">
        <v>5809867.57</v>
      </c>
      <c r="H427" s="56">
        <v>0</v>
      </c>
      <c r="I427" s="56">
        <v>865363.4155000001</v>
      </c>
      <c r="J427" s="56">
        <v>0</v>
      </c>
      <c r="K427" s="56">
        <v>2.33</v>
      </c>
      <c r="L427" s="56">
        <v>0</v>
      </c>
      <c r="M427" s="56">
        <v>2</v>
      </c>
      <c r="N427" s="56">
        <v>0</v>
      </c>
      <c r="O427" s="56">
        <v>1</v>
      </c>
      <c r="P427" s="56">
        <v>1</v>
      </c>
      <c r="Q427" s="56">
        <v>5809867.57</v>
      </c>
      <c r="R427" s="56">
        <v>7973919.76</v>
      </c>
      <c r="S427" s="56">
        <v>22</v>
      </c>
      <c r="T427" s="56">
        <v>5809867.57</v>
      </c>
      <c r="U427" s="56">
        <v>0</v>
      </c>
      <c r="V427" s="56">
        <v>0</v>
      </c>
      <c r="W427" s="56">
        <v>865363.42</v>
      </c>
      <c r="X427" s="56">
        <v>5809867.57</v>
      </c>
      <c r="Y427" s="55" t="s">
        <v>272</v>
      </c>
    </row>
    <row r="428" spans="1:25">
      <c r="A428" s="55" t="s">
        <v>972</v>
      </c>
      <c r="B428" s="56">
        <v>11</v>
      </c>
      <c r="C428" s="56">
        <v>0</v>
      </c>
      <c r="D428" s="56">
        <v>2</v>
      </c>
      <c r="F428" s="56">
        <v>4522395.599</v>
      </c>
      <c r="G428" s="56">
        <v>0</v>
      </c>
      <c r="H428" s="56">
        <v>0</v>
      </c>
      <c r="I428" s="56">
        <v>27095.77726</v>
      </c>
      <c r="J428" s="56">
        <v>0</v>
      </c>
      <c r="K428" s="56">
        <v>27</v>
      </c>
      <c r="L428" s="56">
        <v>493</v>
      </c>
      <c r="M428" s="56">
        <v>2</v>
      </c>
      <c r="N428" s="56">
        <v>624</v>
      </c>
      <c r="O428" s="56">
        <v>5</v>
      </c>
      <c r="P428" s="56">
        <v>5</v>
      </c>
      <c r="Q428" s="56">
        <v>2391374.42</v>
      </c>
      <c r="R428" s="56">
        <v>108243061.5</v>
      </c>
      <c r="S428" s="56">
        <v>33</v>
      </c>
      <c r="T428" s="56">
        <v>99330315.61</v>
      </c>
      <c r="U428" s="56">
        <v>0</v>
      </c>
      <c r="V428" s="56">
        <v>0</v>
      </c>
      <c r="W428" s="56">
        <v>4599404.9</v>
      </c>
      <c r="X428" s="56">
        <v>0</v>
      </c>
      <c r="Y428" s="55" t="s">
        <v>546</v>
      </c>
    </row>
    <row r="429" spans="1:25">
      <c r="A429" s="55" t="s">
        <v>973</v>
      </c>
      <c r="B429" s="56">
        <v>1</v>
      </c>
      <c r="C429" s="56">
        <v>0</v>
      </c>
      <c r="D429" s="56">
        <v>0</v>
      </c>
      <c r="F429" s="56">
        <v>7958651.609</v>
      </c>
      <c r="G429" s="56">
        <v>0</v>
      </c>
      <c r="H429" s="56">
        <v>0</v>
      </c>
      <c r="I429" s="56">
        <v>0</v>
      </c>
      <c r="J429" s="56">
        <v>0</v>
      </c>
      <c r="K429" s="56">
        <v>75</v>
      </c>
      <c r="N429" s="56">
        <v>0</v>
      </c>
      <c r="O429" s="56">
        <v>1</v>
      </c>
      <c r="P429" s="56">
        <v>1</v>
      </c>
      <c r="Q429" s="56">
        <v>0</v>
      </c>
      <c r="R429" s="56">
        <v>694340000</v>
      </c>
      <c r="S429" s="56">
        <v>75</v>
      </c>
      <c r="T429" s="56">
        <v>83987886.08</v>
      </c>
      <c r="U429" s="56">
        <v>0</v>
      </c>
      <c r="V429" s="56">
        <v>0</v>
      </c>
      <c r="W429" s="56">
        <v>7958651.61</v>
      </c>
      <c r="X429" s="56">
        <v>0</v>
      </c>
      <c r="Y429" s="55" t="s">
        <v>272</v>
      </c>
    </row>
    <row r="430" spans="1:25">
      <c r="A430" s="55" t="s">
        <v>974</v>
      </c>
      <c r="B430" s="56">
        <v>3</v>
      </c>
      <c r="C430" s="56">
        <v>0</v>
      </c>
      <c r="D430" s="56">
        <v>0</v>
      </c>
      <c r="E430" s="56">
        <v>298000000</v>
      </c>
      <c r="F430" s="56">
        <v>6431140.942</v>
      </c>
      <c r="G430" s="56">
        <v>0</v>
      </c>
      <c r="H430" s="56">
        <v>409750000</v>
      </c>
      <c r="I430" s="56">
        <v>0</v>
      </c>
      <c r="J430" s="56">
        <v>63402592.87</v>
      </c>
      <c r="K430" s="56">
        <v>45.67</v>
      </c>
      <c r="N430" s="56">
        <v>0</v>
      </c>
      <c r="O430" s="56">
        <v>1</v>
      </c>
      <c r="P430" s="56">
        <v>1</v>
      </c>
      <c r="Q430" s="56">
        <v>63402592.87</v>
      </c>
      <c r="R430" s="56">
        <v>409750000</v>
      </c>
      <c r="S430" s="56">
        <v>117</v>
      </c>
      <c r="T430" s="56">
        <v>63402592.87</v>
      </c>
      <c r="U430" s="56">
        <v>0</v>
      </c>
      <c r="V430" s="56">
        <v>0</v>
      </c>
      <c r="W430" s="56">
        <v>3170129.64</v>
      </c>
      <c r="X430" s="56">
        <v>409750000</v>
      </c>
      <c r="Y430" s="55" t="s">
        <v>272</v>
      </c>
    </row>
    <row r="431" spans="1:25">
      <c r="A431" s="55" t="s">
        <v>975</v>
      </c>
      <c r="B431" s="56">
        <v>1</v>
      </c>
      <c r="C431" s="56">
        <v>0</v>
      </c>
      <c r="D431" s="56">
        <v>0</v>
      </c>
      <c r="E431" s="56">
        <v>14900000</v>
      </c>
      <c r="F431" s="56">
        <v>339902.1719</v>
      </c>
      <c r="G431" s="56">
        <v>0</v>
      </c>
      <c r="H431" s="56">
        <v>14900000</v>
      </c>
      <c r="I431" s="56">
        <v>0</v>
      </c>
      <c r="J431" s="56">
        <v>652272.48</v>
      </c>
      <c r="K431" s="56">
        <v>2</v>
      </c>
      <c r="N431" s="56">
        <v>0</v>
      </c>
      <c r="O431" s="56">
        <v>1</v>
      </c>
      <c r="P431" s="56">
        <v>1</v>
      </c>
      <c r="Q431" s="56">
        <v>652272.48</v>
      </c>
      <c r="R431" s="56">
        <v>14900000</v>
      </c>
      <c r="S431" s="56">
        <v>2</v>
      </c>
      <c r="T431" s="56">
        <v>652272.48</v>
      </c>
      <c r="U431" s="56">
        <v>0</v>
      </c>
      <c r="V431" s="56">
        <v>0</v>
      </c>
      <c r="W431" s="56">
        <v>32613.62</v>
      </c>
      <c r="X431" s="56">
        <v>14900000</v>
      </c>
      <c r="Y431" s="55" t="s">
        <v>272</v>
      </c>
    </row>
    <row r="432" spans="1:25">
      <c r="A432" s="55" t="s">
        <v>976</v>
      </c>
      <c r="B432" s="56">
        <v>2</v>
      </c>
      <c r="C432" s="56">
        <v>0</v>
      </c>
      <c r="D432" s="56">
        <v>0</v>
      </c>
      <c r="E432" s="56">
        <v>20860000</v>
      </c>
      <c r="F432" s="56">
        <v>564333.0855</v>
      </c>
      <c r="G432" s="56">
        <v>0</v>
      </c>
      <c r="H432" s="56">
        <v>25330000</v>
      </c>
      <c r="I432" s="56">
        <v>0</v>
      </c>
      <c r="J432" s="56">
        <v>0</v>
      </c>
      <c r="K432" s="56">
        <v>21</v>
      </c>
      <c r="N432" s="56">
        <v>0</v>
      </c>
      <c r="O432" s="56">
        <v>1</v>
      </c>
      <c r="P432" s="56">
        <v>1</v>
      </c>
      <c r="Q432" s="56">
        <v>0</v>
      </c>
      <c r="R432" s="56">
        <v>25330000</v>
      </c>
      <c r="S432" s="56">
        <v>33</v>
      </c>
      <c r="T432" s="56">
        <v>0</v>
      </c>
      <c r="U432" s="56">
        <v>0</v>
      </c>
      <c r="V432" s="56">
        <v>0</v>
      </c>
      <c r="W432" s="56">
        <v>0</v>
      </c>
      <c r="X432" s="56">
        <v>25330000</v>
      </c>
      <c r="Y432" s="55" t="s">
        <v>272</v>
      </c>
    </row>
    <row r="433" spans="1:25">
      <c r="A433" s="55" t="s">
        <v>977</v>
      </c>
      <c r="B433" s="56">
        <v>27</v>
      </c>
      <c r="C433" s="56">
        <v>0</v>
      </c>
      <c r="D433" s="56">
        <v>0</v>
      </c>
      <c r="F433" s="56">
        <v>1056437.396</v>
      </c>
      <c r="G433" s="56">
        <v>0</v>
      </c>
      <c r="H433" s="56">
        <v>0</v>
      </c>
      <c r="I433" s="56">
        <v>0</v>
      </c>
      <c r="J433" s="56">
        <v>0</v>
      </c>
      <c r="K433" s="56">
        <v>20</v>
      </c>
      <c r="L433" s="56">
        <v>0</v>
      </c>
      <c r="M433" s="56">
        <v>1</v>
      </c>
      <c r="N433" s="56">
        <v>0</v>
      </c>
      <c r="O433" s="56">
        <v>1</v>
      </c>
      <c r="P433" s="56">
        <v>1</v>
      </c>
      <c r="Q433" s="56">
        <v>0</v>
      </c>
      <c r="R433" s="56">
        <v>8426483.42</v>
      </c>
      <c r="S433" s="56">
        <v>20</v>
      </c>
      <c r="T433" s="56">
        <v>6181530.24</v>
      </c>
      <c r="U433" s="56">
        <v>0</v>
      </c>
      <c r="V433" s="56">
        <v>0</v>
      </c>
      <c r="W433" s="56">
        <v>1189326.2</v>
      </c>
      <c r="X433" s="56">
        <v>0</v>
      </c>
      <c r="Y433" s="55" t="s">
        <v>272</v>
      </c>
    </row>
    <row r="434" spans="1:25">
      <c r="A434" s="55" t="s">
        <v>978</v>
      </c>
      <c r="B434" s="56">
        <v>56</v>
      </c>
      <c r="C434" s="56">
        <v>0</v>
      </c>
      <c r="D434" s="56">
        <v>0</v>
      </c>
      <c r="E434" s="56">
        <v>37250000</v>
      </c>
      <c r="F434" s="56">
        <v>998363.9622</v>
      </c>
      <c r="G434" s="56">
        <v>0</v>
      </c>
      <c r="H434" s="56">
        <v>52150000</v>
      </c>
      <c r="I434" s="56">
        <v>0</v>
      </c>
      <c r="J434" s="56">
        <v>21961298.44</v>
      </c>
      <c r="K434" s="56">
        <v>10.5</v>
      </c>
      <c r="L434" s="56">
        <v>0</v>
      </c>
      <c r="M434" s="56">
        <v>1</v>
      </c>
      <c r="N434" s="56">
        <v>0</v>
      </c>
      <c r="O434" s="56">
        <v>1</v>
      </c>
      <c r="P434" s="56">
        <v>1</v>
      </c>
      <c r="Q434" s="56">
        <v>21961298.44</v>
      </c>
      <c r="R434" s="56">
        <v>79696963.55</v>
      </c>
      <c r="S434" s="56">
        <v>51</v>
      </c>
      <c r="T434" s="56">
        <v>21961298.44</v>
      </c>
      <c r="U434" s="56">
        <v>0</v>
      </c>
      <c r="V434" s="56">
        <v>0</v>
      </c>
      <c r="W434" s="56">
        <v>1098064.92</v>
      </c>
      <c r="X434" s="56">
        <v>52150000</v>
      </c>
      <c r="Y434" s="55" t="s">
        <v>272</v>
      </c>
    </row>
    <row r="435" spans="1:25">
      <c r="A435" s="55" t="s">
        <v>979</v>
      </c>
      <c r="B435" s="56">
        <v>4</v>
      </c>
      <c r="C435" s="56">
        <v>0</v>
      </c>
      <c r="D435" s="56">
        <v>0</v>
      </c>
      <c r="F435" s="56">
        <v>109092.1434</v>
      </c>
      <c r="G435" s="56">
        <v>505487.48</v>
      </c>
      <c r="H435" s="56">
        <v>0</v>
      </c>
      <c r="I435" s="56">
        <v>204065.83456</v>
      </c>
      <c r="J435" s="56">
        <v>0</v>
      </c>
      <c r="K435" s="56">
        <v>3</v>
      </c>
      <c r="L435" s="56">
        <v>0</v>
      </c>
      <c r="M435" s="56">
        <v>1</v>
      </c>
      <c r="N435" s="56">
        <v>0</v>
      </c>
      <c r="O435" s="56">
        <v>1</v>
      </c>
      <c r="P435" s="56">
        <v>1</v>
      </c>
      <c r="Q435" s="56">
        <v>505487.48</v>
      </c>
      <c r="R435" s="56">
        <v>685417.88</v>
      </c>
      <c r="S435" s="56">
        <v>11</v>
      </c>
      <c r="T435" s="56">
        <v>505487.48</v>
      </c>
      <c r="U435" s="56">
        <v>0</v>
      </c>
      <c r="V435" s="56">
        <v>0</v>
      </c>
      <c r="W435" s="56">
        <v>204065.83</v>
      </c>
      <c r="X435" s="56">
        <v>505487.48</v>
      </c>
      <c r="Y435" s="55" t="s">
        <v>272</v>
      </c>
    </row>
    <row r="436" spans="1:25">
      <c r="A436" s="55" t="s">
        <v>980</v>
      </c>
      <c r="B436" s="56">
        <v>16</v>
      </c>
      <c r="C436" s="56">
        <v>0</v>
      </c>
      <c r="D436" s="56">
        <v>0</v>
      </c>
      <c r="E436" s="56">
        <v>22350000</v>
      </c>
      <c r="F436" s="56">
        <v>604642.5917</v>
      </c>
      <c r="G436" s="56">
        <v>0</v>
      </c>
      <c r="H436" s="56">
        <v>26820000</v>
      </c>
      <c r="I436" s="56">
        <v>0</v>
      </c>
      <c r="J436" s="56">
        <v>20480775.27</v>
      </c>
      <c r="K436" s="56">
        <v>20.5</v>
      </c>
      <c r="M436" s="56">
        <v>1</v>
      </c>
      <c r="N436" s="56">
        <v>0</v>
      </c>
      <c r="O436" s="56">
        <v>1</v>
      </c>
      <c r="P436" s="56">
        <v>1</v>
      </c>
      <c r="Q436" s="56">
        <v>20480775.27</v>
      </c>
      <c r="R436" s="56">
        <v>34597293.4</v>
      </c>
      <c r="S436" s="56">
        <v>54</v>
      </c>
      <c r="T436" s="56">
        <v>20480775.27</v>
      </c>
      <c r="U436" s="56">
        <v>0</v>
      </c>
      <c r="V436" s="56">
        <v>0</v>
      </c>
      <c r="W436" s="56">
        <v>1024038.76</v>
      </c>
      <c r="X436" s="56">
        <v>26820000</v>
      </c>
      <c r="Y436" s="55" t="s">
        <v>272</v>
      </c>
    </row>
    <row r="437" spans="1:25">
      <c r="A437" s="55" t="s">
        <v>981</v>
      </c>
      <c r="B437" s="56">
        <v>4</v>
      </c>
      <c r="C437" s="56">
        <v>0</v>
      </c>
      <c r="D437" s="56">
        <v>2</v>
      </c>
      <c r="G437" s="56">
        <v>0</v>
      </c>
      <c r="H437" s="56">
        <v>0</v>
      </c>
      <c r="I437" s="56">
        <v>0</v>
      </c>
      <c r="J437" s="56">
        <v>0</v>
      </c>
      <c r="L437" s="56">
        <v>2308</v>
      </c>
      <c r="N437" s="56">
        <v>2308</v>
      </c>
      <c r="O437" s="56">
        <v>5</v>
      </c>
      <c r="P437" s="56">
        <v>5</v>
      </c>
      <c r="Q437" s="56">
        <v>7498048.98</v>
      </c>
      <c r="R437" s="56">
        <v>7578925.23</v>
      </c>
      <c r="S437" s="56">
        <v>81</v>
      </c>
      <c r="T437" s="56">
        <v>7498048.98</v>
      </c>
      <c r="U437" s="56">
        <v>0</v>
      </c>
      <c r="V437" s="56">
        <v>0</v>
      </c>
      <c r="W437" s="56">
        <v>0</v>
      </c>
      <c r="X437" s="56">
        <v>0</v>
      </c>
      <c r="Y437" s="55" t="s">
        <v>546</v>
      </c>
    </row>
    <row r="438" spans="1:25">
      <c r="A438" s="55" t="s">
        <v>982</v>
      </c>
      <c r="B438" s="56">
        <v>10</v>
      </c>
      <c r="C438" s="56">
        <v>0</v>
      </c>
      <c r="D438" s="56">
        <v>2</v>
      </c>
      <c r="E438" s="56">
        <v>5960000</v>
      </c>
      <c r="F438" s="56">
        <v>6393092.935</v>
      </c>
      <c r="G438" s="56">
        <v>0</v>
      </c>
      <c r="H438" s="56">
        <v>5960000</v>
      </c>
      <c r="I438" s="56">
        <v>0</v>
      </c>
      <c r="J438" s="56">
        <v>4791221.25</v>
      </c>
      <c r="K438" s="56">
        <v>28.75</v>
      </c>
      <c r="L438" s="56">
        <v>1476</v>
      </c>
      <c r="M438" s="56">
        <v>2</v>
      </c>
      <c r="N438" s="56">
        <v>1476</v>
      </c>
      <c r="O438" s="56">
        <v>5</v>
      </c>
      <c r="P438" s="56">
        <v>5</v>
      </c>
      <c r="Q438" s="56">
        <v>7530440.73</v>
      </c>
      <c r="R438" s="56">
        <v>402320459.21</v>
      </c>
      <c r="S438" s="56">
        <v>76</v>
      </c>
      <c r="T438" s="56">
        <v>121510926.65</v>
      </c>
      <c r="U438" s="56">
        <v>4</v>
      </c>
      <c r="V438" s="56">
        <v>0</v>
      </c>
      <c r="W438" s="56">
        <v>7728692.66</v>
      </c>
      <c r="X438" s="56">
        <v>5960000</v>
      </c>
      <c r="Y438" s="55" t="s">
        <v>546</v>
      </c>
    </row>
    <row r="439" spans="1:25">
      <c r="A439" s="55" t="s">
        <v>983</v>
      </c>
      <c r="B439" s="56">
        <v>6</v>
      </c>
      <c r="C439" s="56">
        <v>0</v>
      </c>
      <c r="D439" s="56">
        <v>0</v>
      </c>
      <c r="F439" s="56">
        <v>755240.2093</v>
      </c>
      <c r="G439" s="56">
        <v>1062700.92</v>
      </c>
      <c r="H439" s="56">
        <v>0</v>
      </c>
      <c r="I439" s="56">
        <v>755240.2093</v>
      </c>
      <c r="J439" s="56">
        <v>0</v>
      </c>
      <c r="K439" s="56">
        <v>6</v>
      </c>
      <c r="L439" s="56">
        <v>29</v>
      </c>
      <c r="M439" s="56">
        <v>2</v>
      </c>
      <c r="N439" s="56">
        <v>73</v>
      </c>
      <c r="O439" s="56">
        <v>2</v>
      </c>
      <c r="P439" s="56">
        <v>2</v>
      </c>
      <c r="Q439" s="56">
        <v>1062700.92</v>
      </c>
      <c r="R439" s="56">
        <v>22528366.41</v>
      </c>
      <c r="S439" s="56">
        <v>84</v>
      </c>
      <c r="T439" s="56">
        <v>1062700.92</v>
      </c>
      <c r="U439" s="56">
        <v>1</v>
      </c>
      <c r="V439" s="56">
        <v>0</v>
      </c>
      <c r="W439" s="56">
        <v>755240.21</v>
      </c>
      <c r="X439" s="56">
        <v>1062700.92</v>
      </c>
      <c r="Y439" s="55" t="s">
        <v>272</v>
      </c>
    </row>
    <row r="440" spans="1:25">
      <c r="A440" s="55" t="s">
        <v>984</v>
      </c>
      <c r="B440" s="56">
        <v>1</v>
      </c>
      <c r="C440" s="56">
        <v>0</v>
      </c>
      <c r="D440" s="56">
        <v>0</v>
      </c>
      <c r="E440" s="56">
        <v>4470000</v>
      </c>
      <c r="F440" s="56">
        <v>98472.29334</v>
      </c>
      <c r="G440" s="56">
        <v>0</v>
      </c>
      <c r="H440" s="56">
        <v>4470000</v>
      </c>
      <c r="I440" s="56">
        <v>0</v>
      </c>
      <c r="J440" s="56">
        <v>0</v>
      </c>
      <c r="K440" s="56">
        <v>28</v>
      </c>
      <c r="N440" s="56">
        <v>0</v>
      </c>
      <c r="O440" s="56">
        <v>1</v>
      </c>
      <c r="P440" s="56">
        <v>1</v>
      </c>
      <c r="Q440" s="56">
        <v>0</v>
      </c>
      <c r="R440" s="56">
        <v>4470000</v>
      </c>
      <c r="S440" s="56">
        <v>28</v>
      </c>
      <c r="T440" s="56">
        <v>0</v>
      </c>
      <c r="U440" s="56">
        <v>0</v>
      </c>
      <c r="V440" s="56">
        <v>0</v>
      </c>
      <c r="W440" s="56">
        <v>0</v>
      </c>
      <c r="X440" s="56">
        <v>4470000</v>
      </c>
      <c r="Y440" s="55" t="s">
        <v>272</v>
      </c>
    </row>
    <row r="441" spans="1:25">
      <c r="A441" s="55" t="s">
        <v>985</v>
      </c>
      <c r="B441" s="56">
        <v>34</v>
      </c>
      <c r="C441" s="56">
        <v>0</v>
      </c>
      <c r="D441" s="56">
        <v>0</v>
      </c>
      <c r="E441" s="56">
        <v>223500000</v>
      </c>
      <c r="F441" s="56">
        <v>55875000</v>
      </c>
      <c r="G441" s="56">
        <v>0</v>
      </c>
      <c r="H441" s="56">
        <v>268200000</v>
      </c>
      <c r="I441" s="56">
        <v>0</v>
      </c>
      <c r="J441" s="56">
        <v>29038122.4</v>
      </c>
      <c r="K441" s="56">
        <v>42.86</v>
      </c>
      <c r="L441" s="56">
        <v>0</v>
      </c>
      <c r="M441" s="56">
        <v>1</v>
      </c>
      <c r="N441" s="56">
        <v>0</v>
      </c>
      <c r="O441" s="56">
        <v>1</v>
      </c>
      <c r="P441" s="56">
        <v>1</v>
      </c>
      <c r="Q441" s="56">
        <v>29038122.4</v>
      </c>
      <c r="R441" s="56">
        <v>11976656887.98</v>
      </c>
      <c r="S441" s="56">
        <v>226</v>
      </c>
      <c r="T441" s="56">
        <v>8654234298.120001</v>
      </c>
      <c r="U441" s="56">
        <v>0</v>
      </c>
      <c r="V441" s="56">
        <v>0</v>
      </c>
      <c r="W441" s="56">
        <v>78214129.48999999</v>
      </c>
      <c r="X441" s="56">
        <v>268200000</v>
      </c>
      <c r="Y441" s="55" t="s">
        <v>272</v>
      </c>
    </row>
    <row r="442" spans="1:25">
      <c r="A442" s="55" t="s">
        <v>986</v>
      </c>
      <c r="B442" s="56">
        <v>5</v>
      </c>
      <c r="C442" s="56">
        <v>0</v>
      </c>
      <c r="D442" s="56">
        <v>0</v>
      </c>
      <c r="F442" s="56">
        <v>372500</v>
      </c>
      <c r="G442" s="56">
        <v>0</v>
      </c>
      <c r="H442" s="56">
        <v>0</v>
      </c>
      <c r="I442" s="56">
        <v>0</v>
      </c>
      <c r="J442" s="56">
        <v>0</v>
      </c>
      <c r="K442" s="56">
        <v>6</v>
      </c>
      <c r="M442" s="56">
        <v>1</v>
      </c>
      <c r="N442" s="56">
        <v>0</v>
      </c>
      <c r="O442" s="56">
        <v>1</v>
      </c>
      <c r="P442" s="56">
        <v>1</v>
      </c>
      <c r="Q442" s="56">
        <v>63000000</v>
      </c>
      <c r="R442" s="56">
        <v>350150000</v>
      </c>
      <c r="S442" s="56">
        <v>31</v>
      </c>
      <c r="T442" s="56">
        <v>63000000</v>
      </c>
      <c r="U442" s="56">
        <v>0</v>
      </c>
      <c r="V442" s="56">
        <v>0</v>
      </c>
      <c r="W442" s="56">
        <v>372500</v>
      </c>
      <c r="X442" s="56">
        <v>0</v>
      </c>
      <c r="Y442" s="55" t="s">
        <v>272</v>
      </c>
    </row>
    <row r="443" spans="1:25">
      <c r="A443" s="55" t="s">
        <v>987</v>
      </c>
      <c r="B443" s="56">
        <v>3</v>
      </c>
      <c r="C443" s="56">
        <v>0</v>
      </c>
      <c r="D443" s="56">
        <v>0</v>
      </c>
      <c r="F443" s="56">
        <v>528012.0764</v>
      </c>
      <c r="G443" s="56">
        <v>2698523.95</v>
      </c>
      <c r="H443" s="56">
        <v>0</v>
      </c>
      <c r="I443" s="56">
        <v>528012.0764</v>
      </c>
      <c r="J443" s="56">
        <v>0</v>
      </c>
      <c r="K443" s="56">
        <v>68</v>
      </c>
      <c r="L443" s="56">
        <v>1785</v>
      </c>
      <c r="N443" s="56">
        <v>1785</v>
      </c>
      <c r="O443" s="56">
        <v>5</v>
      </c>
      <c r="P443" s="56">
        <v>5</v>
      </c>
      <c r="Q443" s="56">
        <v>2698523.95</v>
      </c>
      <c r="R443" s="56">
        <v>13365300</v>
      </c>
      <c r="S443" s="56">
        <v>75</v>
      </c>
      <c r="T443" s="56">
        <v>2698523.95</v>
      </c>
      <c r="U443" s="56">
        <v>1</v>
      </c>
      <c r="V443" s="56">
        <v>0</v>
      </c>
      <c r="W443" s="56">
        <v>528012.08</v>
      </c>
      <c r="X443" s="56">
        <v>2698523.95</v>
      </c>
      <c r="Y443" s="55" t="s">
        <v>272</v>
      </c>
    </row>
    <row r="444" spans="1:25">
      <c r="A444" s="55" t="s">
        <v>988</v>
      </c>
      <c r="B444" s="56">
        <v>109</v>
      </c>
      <c r="C444" s="56">
        <v>0</v>
      </c>
      <c r="D444" s="56">
        <v>0</v>
      </c>
      <c r="F444" s="56">
        <v>783023.5459</v>
      </c>
      <c r="G444" s="56">
        <v>1264818.26</v>
      </c>
      <c r="H444" s="56">
        <v>0</v>
      </c>
      <c r="I444" s="56">
        <v>1069630.2278</v>
      </c>
      <c r="J444" s="56">
        <v>0</v>
      </c>
      <c r="K444" s="56">
        <v>4.33</v>
      </c>
      <c r="L444" s="56">
        <v>0</v>
      </c>
      <c r="M444" s="56">
        <v>1</v>
      </c>
      <c r="N444" s="56">
        <v>47</v>
      </c>
      <c r="O444" s="56">
        <v>2</v>
      </c>
      <c r="P444" s="56">
        <v>2</v>
      </c>
      <c r="Q444" s="56">
        <v>1264818.26</v>
      </c>
      <c r="R444" s="56">
        <v>23199577.14</v>
      </c>
      <c r="S444" s="56">
        <v>78</v>
      </c>
      <c r="T444" s="56">
        <v>5669292.399999999</v>
      </c>
      <c r="U444" s="56">
        <v>1</v>
      </c>
      <c r="V444" s="56">
        <v>0</v>
      </c>
      <c r="W444" s="56">
        <v>1752646.18</v>
      </c>
      <c r="X444" s="56">
        <v>1264818.26</v>
      </c>
      <c r="Y444" s="55" t="s">
        <v>272</v>
      </c>
    </row>
    <row r="445" spans="1:25">
      <c r="A445" s="55" t="s">
        <v>989</v>
      </c>
      <c r="B445" s="56">
        <v>34</v>
      </c>
      <c r="C445" s="56">
        <v>0</v>
      </c>
      <c r="D445" s="56">
        <v>0</v>
      </c>
      <c r="F445" s="56">
        <v>3799549.302</v>
      </c>
      <c r="G445" s="56">
        <v>14018401.45</v>
      </c>
      <c r="H445" s="56">
        <v>0</v>
      </c>
      <c r="I445" s="56">
        <v>4246396.3597</v>
      </c>
      <c r="J445" s="56">
        <v>0</v>
      </c>
      <c r="K445" s="56">
        <v>5.5</v>
      </c>
      <c r="L445" s="56">
        <v>0</v>
      </c>
      <c r="M445" s="56">
        <v>2</v>
      </c>
      <c r="N445" s="56">
        <v>0</v>
      </c>
      <c r="O445" s="56">
        <v>1</v>
      </c>
      <c r="P445" s="56">
        <v>2</v>
      </c>
      <c r="Q445" s="56">
        <v>21041595.49</v>
      </c>
      <c r="R445" s="56">
        <v>121985556.49</v>
      </c>
      <c r="S445" s="56">
        <v>73</v>
      </c>
      <c r="T445" s="56">
        <v>21041595.49</v>
      </c>
      <c r="U445" s="56">
        <v>0</v>
      </c>
      <c r="V445" s="56">
        <v>1</v>
      </c>
      <c r="W445" s="56">
        <v>4689883.78</v>
      </c>
      <c r="X445" s="56">
        <v>14018401.45</v>
      </c>
      <c r="Y445" s="55" t="s">
        <v>563</v>
      </c>
    </row>
    <row r="446" spans="1:25">
      <c r="A446" s="55" t="s">
        <v>990</v>
      </c>
      <c r="B446" s="56">
        <v>3</v>
      </c>
      <c r="C446" s="56">
        <v>0</v>
      </c>
      <c r="D446" s="56">
        <v>0</v>
      </c>
      <c r="E446" s="56">
        <v>44700000</v>
      </c>
      <c r="F446" s="56">
        <v>1209285.183</v>
      </c>
      <c r="G446" s="56">
        <v>0</v>
      </c>
      <c r="H446" s="56">
        <v>70030000</v>
      </c>
      <c r="I446" s="56">
        <v>0</v>
      </c>
      <c r="J446" s="56">
        <v>11888648.75</v>
      </c>
      <c r="K446" s="56">
        <v>44</v>
      </c>
      <c r="N446" s="56">
        <v>0</v>
      </c>
      <c r="O446" s="56">
        <v>1</v>
      </c>
      <c r="P446" s="56">
        <v>1</v>
      </c>
      <c r="Q446" s="56">
        <v>11888648.75</v>
      </c>
      <c r="R446" s="56">
        <v>70030000</v>
      </c>
      <c r="S446" s="56">
        <v>65</v>
      </c>
      <c r="T446" s="56">
        <v>11888648.75</v>
      </c>
      <c r="U446" s="56">
        <v>0</v>
      </c>
      <c r="V446" s="56">
        <v>0</v>
      </c>
      <c r="W446" s="56">
        <v>594432.4399999999</v>
      </c>
      <c r="X446" s="56">
        <v>70030000</v>
      </c>
      <c r="Y446" s="55" t="s">
        <v>272</v>
      </c>
    </row>
    <row r="447" spans="1:25">
      <c r="A447" s="55" t="s">
        <v>991</v>
      </c>
      <c r="B447" s="56">
        <v>44</v>
      </c>
      <c r="C447" s="56">
        <v>0</v>
      </c>
      <c r="D447" s="56">
        <v>0</v>
      </c>
      <c r="F447" s="56">
        <v>385403.4912</v>
      </c>
      <c r="G447" s="56">
        <v>1053997.56</v>
      </c>
      <c r="H447" s="56">
        <v>0</v>
      </c>
      <c r="I447" s="56">
        <v>641645.31546</v>
      </c>
      <c r="J447" s="56">
        <v>0</v>
      </c>
      <c r="K447" s="56">
        <v>11</v>
      </c>
      <c r="L447" s="56">
        <v>148</v>
      </c>
      <c r="M447" s="56">
        <v>5</v>
      </c>
      <c r="N447" s="56">
        <v>0</v>
      </c>
      <c r="O447" s="56">
        <v>5</v>
      </c>
      <c r="P447" s="56">
        <v>5</v>
      </c>
      <c r="Q447" s="56">
        <v>1053997.56</v>
      </c>
      <c r="R447" s="56">
        <v>12243309.14</v>
      </c>
      <c r="S447" s="56">
        <v>42</v>
      </c>
      <c r="T447" s="56">
        <v>1053997.56</v>
      </c>
      <c r="U447" s="56">
        <v>0</v>
      </c>
      <c r="V447" s="56">
        <v>0</v>
      </c>
      <c r="W447" s="56">
        <v>641645.3199999999</v>
      </c>
      <c r="X447" s="56">
        <v>1053997.56</v>
      </c>
      <c r="Y447" s="55" t="s">
        <v>272</v>
      </c>
    </row>
    <row r="448" spans="1:25">
      <c r="A448" s="55" t="s">
        <v>992</v>
      </c>
      <c r="B448" s="56">
        <v>33</v>
      </c>
      <c r="C448" s="56">
        <v>0</v>
      </c>
      <c r="D448" s="56">
        <v>0</v>
      </c>
      <c r="G448" s="56">
        <v>0</v>
      </c>
      <c r="H448" s="56">
        <v>0</v>
      </c>
      <c r="I448" s="56">
        <v>0</v>
      </c>
      <c r="J448" s="56">
        <v>0</v>
      </c>
      <c r="L448" s="56">
        <v>0</v>
      </c>
      <c r="M448" s="56">
        <v>1</v>
      </c>
      <c r="P448" s="56">
        <v>1</v>
      </c>
      <c r="Q448" s="56">
        <v>0</v>
      </c>
      <c r="R448" s="56">
        <v>14900000</v>
      </c>
      <c r="S448" s="56">
        <v>74</v>
      </c>
      <c r="T448" s="56">
        <v>0</v>
      </c>
      <c r="U448" s="56">
        <v>0</v>
      </c>
      <c r="V448" s="56">
        <v>0</v>
      </c>
      <c r="W448" s="56">
        <v>0</v>
      </c>
      <c r="X448" s="56">
        <v>0</v>
      </c>
      <c r="Y448" s="55" t="s">
        <v>272</v>
      </c>
    </row>
    <row r="449" spans="1:25">
      <c r="A449" s="55" t="s">
        <v>993</v>
      </c>
      <c r="B449" s="56">
        <v>1</v>
      </c>
      <c r="C449" s="56">
        <v>0</v>
      </c>
      <c r="D449" s="56">
        <v>0</v>
      </c>
      <c r="F449" s="56">
        <v>4370217.436</v>
      </c>
      <c r="G449" s="56">
        <v>0</v>
      </c>
      <c r="H449" s="56">
        <v>0</v>
      </c>
      <c r="I449" s="56">
        <v>0</v>
      </c>
      <c r="J449" s="56">
        <v>0</v>
      </c>
      <c r="K449" s="56">
        <v>34</v>
      </c>
      <c r="L449" s="56">
        <v>0</v>
      </c>
      <c r="N449" s="56">
        <v>0</v>
      </c>
      <c r="O449" s="56">
        <v>1</v>
      </c>
      <c r="P449" s="56">
        <v>1</v>
      </c>
      <c r="Q449" s="56">
        <v>0</v>
      </c>
      <c r="R449" s="56">
        <v>52259923.26</v>
      </c>
      <c r="S449" s="56">
        <v>34</v>
      </c>
      <c r="T449" s="56">
        <v>35775249.48</v>
      </c>
      <c r="U449" s="56">
        <v>0</v>
      </c>
      <c r="V449" s="56">
        <v>0</v>
      </c>
      <c r="W449" s="56">
        <v>4370217.44</v>
      </c>
      <c r="X449" s="56">
        <v>0</v>
      </c>
      <c r="Y449" s="55" t="s">
        <v>272</v>
      </c>
    </row>
    <row r="450" spans="1:25">
      <c r="A450" s="55" t="s">
        <v>994</v>
      </c>
      <c r="B450" s="56">
        <v>89</v>
      </c>
      <c r="C450" s="56">
        <v>0</v>
      </c>
      <c r="D450" s="56">
        <v>0</v>
      </c>
      <c r="F450" s="56">
        <v>3671360</v>
      </c>
      <c r="G450" s="56">
        <v>5070425.25</v>
      </c>
      <c r="H450" s="56">
        <v>0</v>
      </c>
      <c r="I450" s="56">
        <v>4443148.19791</v>
      </c>
      <c r="J450" s="56">
        <v>0</v>
      </c>
      <c r="K450" s="56">
        <v>0.75</v>
      </c>
      <c r="L450" s="56">
        <v>0</v>
      </c>
      <c r="M450" s="56">
        <v>1</v>
      </c>
      <c r="N450" s="56">
        <v>0</v>
      </c>
      <c r="O450" s="56">
        <v>1</v>
      </c>
      <c r="P450" s="56">
        <v>1</v>
      </c>
      <c r="Q450" s="56">
        <v>5070425.25</v>
      </c>
      <c r="R450" s="56">
        <v>45477891.75</v>
      </c>
      <c r="S450" s="56">
        <v>31</v>
      </c>
      <c r="T450" s="56">
        <v>5070425.25</v>
      </c>
      <c r="U450" s="56">
        <v>0</v>
      </c>
      <c r="V450" s="56">
        <v>0</v>
      </c>
      <c r="W450" s="56">
        <v>4443148.2</v>
      </c>
      <c r="X450" s="56">
        <v>5070425.25</v>
      </c>
      <c r="Y450" s="55" t="s">
        <v>272</v>
      </c>
    </row>
    <row r="451" spans="1:25">
      <c r="A451" s="55" t="s">
        <v>995</v>
      </c>
      <c r="B451" s="56">
        <v>1</v>
      </c>
      <c r="C451" s="56">
        <v>0</v>
      </c>
      <c r="D451" s="56">
        <v>0</v>
      </c>
      <c r="E451" s="56">
        <v>44700000</v>
      </c>
      <c r="F451" s="56">
        <v>656481.9556</v>
      </c>
      <c r="G451" s="56">
        <v>0</v>
      </c>
      <c r="H451" s="56">
        <v>44700000</v>
      </c>
      <c r="I451" s="56">
        <v>0</v>
      </c>
      <c r="J451" s="56">
        <v>35177374.38</v>
      </c>
      <c r="K451" s="56">
        <v>8</v>
      </c>
      <c r="N451" s="56">
        <v>0</v>
      </c>
      <c r="O451" s="56">
        <v>1</v>
      </c>
      <c r="P451" s="56">
        <v>1</v>
      </c>
      <c r="Q451" s="56">
        <v>35177374.38</v>
      </c>
      <c r="R451" s="56">
        <v>44700000</v>
      </c>
      <c r="S451" s="56">
        <v>8</v>
      </c>
      <c r="T451" s="56">
        <v>35177374.38</v>
      </c>
      <c r="U451" s="56">
        <v>0</v>
      </c>
      <c r="V451" s="56">
        <v>0</v>
      </c>
      <c r="W451" s="56">
        <v>1758868.72</v>
      </c>
      <c r="X451" s="56">
        <v>44700000</v>
      </c>
      <c r="Y451" s="55" t="s">
        <v>272</v>
      </c>
    </row>
    <row r="452" spans="1:25">
      <c r="A452" s="55" t="s">
        <v>996</v>
      </c>
      <c r="B452" s="56">
        <v>10</v>
      </c>
      <c r="C452" s="56">
        <v>0</v>
      </c>
      <c r="D452" s="56">
        <v>0</v>
      </c>
      <c r="E452" s="56">
        <v>37250000</v>
      </c>
      <c r="F452" s="56">
        <v>7155569.073</v>
      </c>
      <c r="G452" s="56">
        <v>1102941</v>
      </c>
      <c r="H452" s="56">
        <v>37250000</v>
      </c>
      <c r="I452" s="56">
        <v>345332.2792</v>
      </c>
      <c r="J452" s="56">
        <v>12027708</v>
      </c>
      <c r="K452" s="56">
        <v>5.25</v>
      </c>
      <c r="L452" s="56">
        <v>0</v>
      </c>
      <c r="M452" s="56">
        <v>1</v>
      </c>
      <c r="N452" s="56">
        <v>0</v>
      </c>
      <c r="O452" s="56">
        <v>1</v>
      </c>
      <c r="P452" s="56">
        <v>1</v>
      </c>
      <c r="Q452" s="56">
        <v>13130649</v>
      </c>
      <c r="R452" s="56">
        <v>1275286083</v>
      </c>
      <c r="S452" s="56">
        <v>110</v>
      </c>
      <c r="T452" s="56">
        <v>904130649</v>
      </c>
      <c r="U452" s="56">
        <v>0</v>
      </c>
      <c r="V452" s="56">
        <v>0</v>
      </c>
      <c r="W452" s="56">
        <v>8102286.75</v>
      </c>
      <c r="X452" s="56">
        <v>38352941</v>
      </c>
      <c r="Y452" s="55" t="s">
        <v>272</v>
      </c>
    </row>
    <row r="453" spans="1:25">
      <c r="A453" s="55" t="s">
        <v>997</v>
      </c>
      <c r="B453" s="56">
        <v>1</v>
      </c>
      <c r="C453" s="56">
        <v>0</v>
      </c>
      <c r="D453" s="56">
        <v>0</v>
      </c>
      <c r="G453" s="56">
        <v>0</v>
      </c>
      <c r="H453" s="56">
        <v>0</v>
      </c>
      <c r="I453" s="56">
        <v>0</v>
      </c>
      <c r="J453" s="56">
        <v>0</v>
      </c>
      <c r="L453" s="56">
        <v>0</v>
      </c>
      <c r="M453" s="56">
        <v>1</v>
      </c>
      <c r="N453" s="56">
        <v>0</v>
      </c>
      <c r="O453" s="56">
        <v>1</v>
      </c>
      <c r="P453" s="56">
        <v>1</v>
      </c>
      <c r="Q453" s="56">
        <v>0</v>
      </c>
      <c r="R453" s="56">
        <v>0</v>
      </c>
      <c r="S453" s="56">
        <v>3</v>
      </c>
      <c r="T453" s="56">
        <v>0</v>
      </c>
      <c r="U453" s="56">
        <v>0</v>
      </c>
      <c r="V453" s="56">
        <v>0</v>
      </c>
      <c r="W453" s="56">
        <v>0</v>
      </c>
      <c r="X453" s="56">
        <v>0</v>
      </c>
      <c r="Y453" s="55" t="s">
        <v>272</v>
      </c>
    </row>
    <row r="454" spans="1:25">
      <c r="A454" s="55" t="s">
        <v>998</v>
      </c>
      <c r="B454" s="56">
        <v>480</v>
      </c>
      <c r="C454" s="56">
        <v>2</v>
      </c>
      <c r="D454" s="56">
        <v>5</v>
      </c>
      <c r="E454" s="56">
        <v>40485277.23</v>
      </c>
      <c r="F454" s="56">
        <v>44117730.53</v>
      </c>
      <c r="G454" s="56">
        <v>9934418.93</v>
      </c>
      <c r="H454" s="56">
        <v>40485277.23</v>
      </c>
      <c r="I454" s="56">
        <v>9112448.036499998</v>
      </c>
      <c r="J454" s="56">
        <v>31247026.05</v>
      </c>
      <c r="K454" s="56">
        <v>5.97</v>
      </c>
      <c r="L454" s="56">
        <v>148</v>
      </c>
      <c r="M454" s="56">
        <v>2</v>
      </c>
      <c r="N454" s="56">
        <v>199</v>
      </c>
      <c r="O454" s="56">
        <v>5</v>
      </c>
      <c r="P454" s="56">
        <v>5</v>
      </c>
      <c r="Q454" s="56">
        <v>70941877.81999999</v>
      </c>
      <c r="R454" s="56">
        <v>1844919640.5</v>
      </c>
      <c r="S454" s="56">
        <v>93</v>
      </c>
      <c r="T454" s="56">
        <v>510590190.92</v>
      </c>
      <c r="U454" s="56">
        <v>30</v>
      </c>
      <c r="V454" s="56">
        <v>0</v>
      </c>
      <c r="W454" s="56">
        <v>67748250.31999999</v>
      </c>
      <c r="X454" s="56">
        <v>50419696.16</v>
      </c>
      <c r="Y454" s="55" t="s">
        <v>546</v>
      </c>
    </row>
    <row r="455" spans="1:25">
      <c r="A455" s="55" t="s">
        <v>999</v>
      </c>
      <c r="B455" s="56">
        <v>1</v>
      </c>
      <c r="C455" s="56">
        <v>0</v>
      </c>
      <c r="D455" s="56">
        <v>0</v>
      </c>
      <c r="F455" s="56">
        <v>4509275.726</v>
      </c>
      <c r="G455" s="56">
        <v>0</v>
      </c>
      <c r="H455" s="56">
        <v>0</v>
      </c>
      <c r="I455" s="56">
        <v>0</v>
      </c>
      <c r="J455" s="56">
        <v>0</v>
      </c>
      <c r="K455" s="56">
        <v>31</v>
      </c>
      <c r="N455" s="56">
        <v>0</v>
      </c>
      <c r="O455" s="56">
        <v>1</v>
      </c>
      <c r="P455" s="56">
        <v>1</v>
      </c>
      <c r="Q455" s="56">
        <v>0</v>
      </c>
      <c r="R455" s="56">
        <v>625800000</v>
      </c>
      <c r="S455" s="56">
        <v>31</v>
      </c>
      <c r="T455" s="56">
        <v>505105155.1</v>
      </c>
      <c r="U455" s="56">
        <v>0</v>
      </c>
      <c r="V455" s="56">
        <v>0</v>
      </c>
      <c r="W455" s="56">
        <v>4509275.73</v>
      </c>
      <c r="X455" s="56">
        <v>0</v>
      </c>
      <c r="Y455" s="55" t="s">
        <v>272</v>
      </c>
    </row>
    <row r="456" spans="1:25">
      <c r="A456" s="55" t="s">
        <v>1000</v>
      </c>
      <c r="B456" s="56">
        <v>7</v>
      </c>
      <c r="C456" s="56">
        <v>0</v>
      </c>
      <c r="D456" s="56">
        <v>0</v>
      </c>
      <c r="E456" s="56">
        <v>28310000</v>
      </c>
      <c r="F456" s="56">
        <v>765880.6161</v>
      </c>
      <c r="G456" s="56">
        <v>0</v>
      </c>
      <c r="H456" s="56">
        <v>83440000</v>
      </c>
      <c r="I456" s="56">
        <v>0</v>
      </c>
      <c r="J456" s="56">
        <v>19801239.68</v>
      </c>
      <c r="K456" s="56">
        <v>60.25</v>
      </c>
      <c r="M456" s="56">
        <v>2</v>
      </c>
      <c r="N456" s="56">
        <v>0</v>
      </c>
      <c r="O456" s="56">
        <v>2</v>
      </c>
      <c r="P456" s="56">
        <v>4</v>
      </c>
      <c r="Q456" s="56">
        <v>19801239.68</v>
      </c>
      <c r="R456" s="56">
        <v>292040000</v>
      </c>
      <c r="S456" s="56">
        <v>107</v>
      </c>
      <c r="T456" s="56">
        <v>19801239.68</v>
      </c>
      <c r="U456" s="56">
        <v>2</v>
      </c>
      <c r="V456" s="56">
        <v>0</v>
      </c>
      <c r="W456" s="56">
        <v>990061.98</v>
      </c>
      <c r="X456" s="56">
        <v>83440000</v>
      </c>
      <c r="Y456" s="55" t="s">
        <v>272</v>
      </c>
    </row>
    <row r="457" spans="1:25">
      <c r="A457" s="55" t="s">
        <v>1001</v>
      </c>
      <c r="B457" s="56">
        <v>89</v>
      </c>
      <c r="C457" s="56">
        <v>0</v>
      </c>
      <c r="D457" s="56">
        <v>0</v>
      </c>
      <c r="F457" s="56">
        <v>3337600</v>
      </c>
      <c r="G457" s="56">
        <v>15008035.22</v>
      </c>
      <c r="H457" s="56">
        <v>0</v>
      </c>
      <c r="I457" s="56">
        <v>7994911.906856</v>
      </c>
      <c r="J457" s="56">
        <v>0</v>
      </c>
      <c r="K457" s="56">
        <v>5.08</v>
      </c>
      <c r="L457" s="56">
        <v>0</v>
      </c>
      <c r="M457" s="56">
        <v>1</v>
      </c>
      <c r="N457" s="56">
        <v>0</v>
      </c>
      <c r="O457" s="56">
        <v>1</v>
      </c>
      <c r="P457" s="56">
        <v>1</v>
      </c>
      <c r="Q457" s="56">
        <v>15008035.22</v>
      </c>
      <c r="R457" s="56">
        <v>32584678.88</v>
      </c>
      <c r="S457" s="56">
        <v>47</v>
      </c>
      <c r="T457" s="56">
        <v>17163329.83</v>
      </c>
      <c r="U457" s="56">
        <v>0</v>
      </c>
      <c r="V457" s="56">
        <v>0</v>
      </c>
      <c r="W457" s="56">
        <v>9885071.960000001</v>
      </c>
      <c r="X457" s="56">
        <v>15008035.22</v>
      </c>
      <c r="Y457" s="55" t="s">
        <v>272</v>
      </c>
    </row>
    <row r="458" spans="1:25">
      <c r="A458" s="55" t="s">
        <v>1002</v>
      </c>
      <c r="B458" s="56">
        <v>3</v>
      </c>
      <c r="C458" s="56">
        <v>0</v>
      </c>
      <c r="D458" s="56">
        <v>0</v>
      </c>
      <c r="F458" s="56">
        <v>7254038.888</v>
      </c>
      <c r="G458" s="56">
        <v>0</v>
      </c>
      <c r="H458" s="56">
        <v>0</v>
      </c>
      <c r="I458" s="56">
        <v>0</v>
      </c>
      <c r="J458" s="56">
        <v>0</v>
      </c>
      <c r="K458" s="56">
        <v>3</v>
      </c>
      <c r="M458" s="56">
        <v>1</v>
      </c>
      <c r="N458" s="56">
        <v>0</v>
      </c>
      <c r="O458" s="56">
        <v>1</v>
      </c>
      <c r="P458" s="56">
        <v>1</v>
      </c>
      <c r="Q458" s="56">
        <v>0</v>
      </c>
      <c r="R458" s="56">
        <v>1305726998</v>
      </c>
      <c r="S458" s="56">
        <v>8</v>
      </c>
      <c r="T458" s="56">
        <v>533897766.3</v>
      </c>
      <c r="U458" s="56">
        <v>0</v>
      </c>
      <c r="V458" s="56">
        <v>0</v>
      </c>
      <c r="W458" s="56">
        <v>7254038.89</v>
      </c>
      <c r="X458" s="56">
        <v>0</v>
      </c>
      <c r="Y458" s="55" t="s">
        <v>272</v>
      </c>
    </row>
    <row r="459" spans="1:25">
      <c r="A459" s="55" t="s">
        <v>1003</v>
      </c>
      <c r="B459" s="56">
        <v>17</v>
      </c>
      <c r="C459" s="56">
        <v>0</v>
      </c>
      <c r="D459" s="56">
        <v>0</v>
      </c>
      <c r="F459" s="56">
        <v>1108481.853</v>
      </c>
      <c r="G459" s="56">
        <v>0</v>
      </c>
      <c r="H459" s="56">
        <v>0</v>
      </c>
      <c r="I459" s="56">
        <v>0</v>
      </c>
      <c r="J459" s="56">
        <v>0</v>
      </c>
      <c r="K459" s="56">
        <v>27</v>
      </c>
      <c r="L459" s="56">
        <v>0</v>
      </c>
      <c r="M459" s="56">
        <v>2</v>
      </c>
      <c r="N459" s="56">
        <v>0</v>
      </c>
      <c r="O459" s="56">
        <v>1</v>
      </c>
      <c r="P459" s="56">
        <v>2</v>
      </c>
      <c r="Q459" s="56">
        <v>0</v>
      </c>
      <c r="R459" s="56">
        <v>192554498.43</v>
      </c>
      <c r="S459" s="56">
        <v>71</v>
      </c>
      <c r="T459" s="56">
        <v>123827279.76</v>
      </c>
      <c r="U459" s="56">
        <v>1</v>
      </c>
      <c r="V459" s="56">
        <v>0</v>
      </c>
      <c r="W459" s="56">
        <v>2841067.55</v>
      </c>
      <c r="X459" s="56">
        <v>0</v>
      </c>
      <c r="Y459" s="55" t="s">
        <v>272</v>
      </c>
    </row>
    <row r="460" spans="1:25">
      <c r="A460" s="55" t="s">
        <v>1004</v>
      </c>
      <c r="B460" s="56">
        <v>3</v>
      </c>
      <c r="C460" s="56">
        <v>0</v>
      </c>
      <c r="D460" s="56">
        <v>0</v>
      </c>
      <c r="E460" s="56">
        <v>10430000</v>
      </c>
      <c r="F460" s="56">
        <v>4628254.357</v>
      </c>
      <c r="G460" s="56">
        <v>0</v>
      </c>
      <c r="H460" s="56">
        <v>10430000</v>
      </c>
      <c r="I460" s="56">
        <v>0</v>
      </c>
      <c r="J460" s="56">
        <v>4444675.2</v>
      </c>
      <c r="K460" s="56">
        <v>45</v>
      </c>
      <c r="M460" s="56">
        <v>1</v>
      </c>
      <c r="N460" s="56">
        <v>0</v>
      </c>
      <c r="O460" s="56">
        <v>1</v>
      </c>
      <c r="P460" s="56">
        <v>1</v>
      </c>
      <c r="Q460" s="56">
        <v>4444675.2</v>
      </c>
      <c r="R460" s="56">
        <v>513856931.8</v>
      </c>
      <c r="S460" s="56">
        <v>55</v>
      </c>
      <c r="T460" s="56">
        <v>490978085.8</v>
      </c>
      <c r="U460" s="56">
        <v>0</v>
      </c>
      <c r="V460" s="56">
        <v>0</v>
      </c>
      <c r="W460" s="56">
        <v>4850488.12</v>
      </c>
      <c r="X460" s="56">
        <v>10430000</v>
      </c>
      <c r="Y460" s="55" t="s">
        <v>272</v>
      </c>
    </row>
    <row r="461" spans="1:25">
      <c r="A461" s="55" t="s">
        <v>1005</v>
      </c>
      <c r="B461" s="56">
        <v>2</v>
      </c>
      <c r="C461" s="56">
        <v>0</v>
      </c>
      <c r="D461" s="56">
        <v>0</v>
      </c>
      <c r="E461" s="56">
        <v>17880000</v>
      </c>
      <c r="F461" s="56">
        <v>214364.5716</v>
      </c>
      <c r="G461" s="56">
        <v>0</v>
      </c>
      <c r="H461" s="56">
        <v>17880000</v>
      </c>
      <c r="I461" s="56">
        <v>0</v>
      </c>
      <c r="J461" s="56">
        <v>4345057.75</v>
      </c>
      <c r="K461" s="56">
        <v>46</v>
      </c>
      <c r="M461" s="56">
        <v>1</v>
      </c>
      <c r="N461" s="56">
        <v>0</v>
      </c>
      <c r="O461" s="56">
        <v>1</v>
      </c>
      <c r="P461" s="56">
        <v>1</v>
      </c>
      <c r="Q461" s="56">
        <v>4345057.75</v>
      </c>
      <c r="R461" s="56">
        <v>17880000</v>
      </c>
      <c r="S461" s="56">
        <v>47</v>
      </c>
      <c r="T461" s="56">
        <v>4345057.75</v>
      </c>
      <c r="U461" s="56">
        <v>0</v>
      </c>
      <c r="V461" s="56">
        <v>0</v>
      </c>
      <c r="W461" s="56">
        <v>217252.89</v>
      </c>
      <c r="X461" s="56">
        <v>17880000</v>
      </c>
      <c r="Y461" s="55" t="s">
        <v>272</v>
      </c>
    </row>
    <row r="462" spans="1:25">
      <c r="A462" s="55" t="s">
        <v>1006</v>
      </c>
      <c r="B462" s="56">
        <v>16</v>
      </c>
      <c r="C462" s="56">
        <v>0</v>
      </c>
      <c r="D462" s="56">
        <v>0</v>
      </c>
      <c r="E462" s="56">
        <v>134100000</v>
      </c>
      <c r="F462" s="56">
        <v>2796291.401</v>
      </c>
      <c r="G462" s="56">
        <v>0</v>
      </c>
      <c r="H462" s="56">
        <v>385165000</v>
      </c>
      <c r="I462" s="56">
        <v>0</v>
      </c>
      <c r="J462" s="56">
        <v>8188136.669999999</v>
      </c>
      <c r="K462" s="56">
        <v>60.33</v>
      </c>
      <c r="L462" s="56">
        <v>0</v>
      </c>
      <c r="M462" s="56">
        <v>1</v>
      </c>
      <c r="N462" s="56">
        <v>0</v>
      </c>
      <c r="O462" s="56">
        <v>1</v>
      </c>
      <c r="P462" s="56">
        <v>1</v>
      </c>
      <c r="Q462" s="56">
        <v>8188136.669999999</v>
      </c>
      <c r="R462" s="56">
        <v>459665000</v>
      </c>
      <c r="S462" s="56">
        <v>198</v>
      </c>
      <c r="T462" s="56">
        <v>8188136.669999999</v>
      </c>
      <c r="U462" s="56">
        <v>0</v>
      </c>
      <c r="V462" s="56">
        <v>0</v>
      </c>
      <c r="W462" s="56">
        <v>409406.83</v>
      </c>
      <c r="X462" s="56">
        <v>385165000</v>
      </c>
      <c r="Y462" s="55" t="s">
        <v>272</v>
      </c>
    </row>
    <row r="463" spans="1:25">
      <c r="A463" s="55" t="s">
        <v>1007</v>
      </c>
      <c r="B463" s="56">
        <v>2</v>
      </c>
      <c r="C463" s="56">
        <v>0</v>
      </c>
      <c r="D463" s="56">
        <v>0</v>
      </c>
      <c r="E463" s="56">
        <v>29800000</v>
      </c>
      <c r="F463" s="56">
        <v>731172.6941</v>
      </c>
      <c r="G463" s="56">
        <v>0</v>
      </c>
      <c r="H463" s="56">
        <v>29800000</v>
      </c>
      <c r="I463" s="56">
        <v>0</v>
      </c>
      <c r="J463" s="56">
        <v>390143.8</v>
      </c>
      <c r="K463" s="56">
        <v>54</v>
      </c>
      <c r="N463" s="56">
        <v>0</v>
      </c>
      <c r="O463" s="56">
        <v>1</v>
      </c>
      <c r="P463" s="56">
        <v>1</v>
      </c>
      <c r="Q463" s="56">
        <v>390143.8</v>
      </c>
      <c r="R463" s="56">
        <v>49170000</v>
      </c>
      <c r="S463" s="56">
        <v>89</v>
      </c>
      <c r="T463" s="56">
        <v>390143.8</v>
      </c>
      <c r="U463" s="56">
        <v>0</v>
      </c>
      <c r="V463" s="56">
        <v>0</v>
      </c>
      <c r="W463" s="56">
        <v>19507.19</v>
      </c>
      <c r="X463" s="56">
        <v>29800000</v>
      </c>
      <c r="Y463" s="55" t="s">
        <v>272</v>
      </c>
    </row>
    <row r="464" spans="1:25">
      <c r="A464" s="55" t="s">
        <v>1008</v>
      </c>
      <c r="B464" s="56">
        <v>122</v>
      </c>
      <c r="C464" s="56">
        <v>0</v>
      </c>
      <c r="D464" s="56">
        <v>0</v>
      </c>
      <c r="F464" s="56">
        <v>4434123.77</v>
      </c>
      <c r="G464" s="56">
        <v>10937500</v>
      </c>
      <c r="H464" s="56">
        <v>0</v>
      </c>
      <c r="I464" s="56">
        <v>9126232.434</v>
      </c>
      <c r="J464" s="56">
        <v>0</v>
      </c>
      <c r="K464" s="56">
        <v>13.5</v>
      </c>
      <c r="L464" s="56">
        <v>31</v>
      </c>
      <c r="M464" s="56">
        <v>1</v>
      </c>
      <c r="N464" s="56">
        <v>31</v>
      </c>
      <c r="O464" s="56">
        <v>2</v>
      </c>
      <c r="P464" s="56">
        <v>2</v>
      </c>
      <c r="Q464" s="56">
        <v>11513229.28</v>
      </c>
      <c r="R464" s="56">
        <v>1006353540.91</v>
      </c>
      <c r="S464" s="56">
        <v>84</v>
      </c>
      <c r="T464" s="56">
        <v>171048377.05</v>
      </c>
      <c r="U464" s="56">
        <v>2</v>
      </c>
      <c r="V464" s="56">
        <v>1</v>
      </c>
      <c r="W464" s="56">
        <v>15450528.74</v>
      </c>
      <c r="X464" s="56">
        <v>10937500</v>
      </c>
      <c r="Y464" s="55" t="s">
        <v>563</v>
      </c>
    </row>
    <row r="465" spans="1:25">
      <c r="A465" s="55" t="s">
        <v>1009</v>
      </c>
      <c r="B465" s="56">
        <v>21</v>
      </c>
      <c r="C465" s="56">
        <v>0</v>
      </c>
      <c r="D465" s="56">
        <v>0</v>
      </c>
      <c r="E465" s="56">
        <v>111064695.4</v>
      </c>
      <c r="F465" s="56">
        <v>7013854.063</v>
      </c>
      <c r="G465" s="56">
        <v>0</v>
      </c>
      <c r="H465" s="56">
        <v>499150000.0700001</v>
      </c>
      <c r="I465" s="56">
        <v>0</v>
      </c>
      <c r="J465" s="56">
        <v>22389439.85</v>
      </c>
      <c r="K465" s="56">
        <v>78.81999999999999</v>
      </c>
      <c r="N465" s="56">
        <v>0</v>
      </c>
      <c r="O465" s="56">
        <v>1</v>
      </c>
      <c r="P465" s="56">
        <v>1</v>
      </c>
      <c r="Q465" s="56">
        <v>22389439.85</v>
      </c>
      <c r="R465" s="56">
        <v>582627555.52</v>
      </c>
      <c r="S465" s="56">
        <v>122</v>
      </c>
      <c r="T465" s="56">
        <v>22389439.85</v>
      </c>
      <c r="U465" s="56">
        <v>0</v>
      </c>
      <c r="V465" s="56">
        <v>0</v>
      </c>
      <c r="W465" s="56">
        <v>1119471.99</v>
      </c>
      <c r="X465" s="56">
        <v>499150000.07</v>
      </c>
      <c r="Y465" s="55" t="s">
        <v>272</v>
      </c>
    </row>
    <row r="466" spans="1:25">
      <c r="A466" s="55" t="s">
        <v>1010</v>
      </c>
      <c r="B466" s="56">
        <v>12</v>
      </c>
      <c r="C466" s="56">
        <v>0</v>
      </c>
      <c r="D466" s="56">
        <v>0</v>
      </c>
      <c r="E466" s="56">
        <v>10728000</v>
      </c>
      <c r="F466" s="56">
        <v>1908817.656</v>
      </c>
      <c r="G466" s="56">
        <v>0</v>
      </c>
      <c r="H466" s="56">
        <v>21158000</v>
      </c>
      <c r="I466" s="56">
        <v>0</v>
      </c>
      <c r="J466" s="56">
        <v>4109549.62</v>
      </c>
      <c r="K466" s="56">
        <v>24.67</v>
      </c>
      <c r="M466" s="56">
        <v>1</v>
      </c>
      <c r="N466" s="56">
        <v>0</v>
      </c>
      <c r="O466" s="56">
        <v>1</v>
      </c>
      <c r="P466" s="56">
        <v>1</v>
      </c>
      <c r="Q466" s="56">
        <v>4109549.62</v>
      </c>
      <c r="R466" s="56">
        <v>266299266.6</v>
      </c>
      <c r="S466" s="56">
        <v>56</v>
      </c>
      <c r="T466" s="56">
        <v>197382846.42</v>
      </c>
      <c r="U466" s="56">
        <v>0</v>
      </c>
      <c r="V466" s="56">
        <v>0</v>
      </c>
      <c r="W466" s="56">
        <v>2114295.14</v>
      </c>
      <c r="X466" s="56">
        <v>21158000</v>
      </c>
      <c r="Y466" s="55" t="s">
        <v>272</v>
      </c>
    </row>
    <row r="467" spans="1:25">
      <c r="A467" s="55" t="s">
        <v>1011</v>
      </c>
      <c r="B467" s="56">
        <v>14</v>
      </c>
      <c r="C467" s="56">
        <v>0</v>
      </c>
      <c r="D467" s="56">
        <v>0</v>
      </c>
      <c r="F467" s="56">
        <v>1679052.568</v>
      </c>
      <c r="G467" s="56">
        <v>3578865.54</v>
      </c>
      <c r="H467" s="56">
        <v>0</v>
      </c>
      <c r="I467" s="56">
        <v>1278126.484522</v>
      </c>
      <c r="J467" s="56">
        <v>0</v>
      </c>
      <c r="K467" s="56">
        <v>9</v>
      </c>
      <c r="L467" s="56">
        <v>29</v>
      </c>
      <c r="M467" s="56">
        <v>1</v>
      </c>
      <c r="N467" s="56">
        <v>57</v>
      </c>
      <c r="O467" s="56">
        <v>2</v>
      </c>
      <c r="P467" s="56">
        <v>2</v>
      </c>
      <c r="Q467" s="56">
        <v>51480731.94000001</v>
      </c>
      <c r="R467" s="56">
        <v>290628759.9100001</v>
      </c>
      <c r="S467" s="56">
        <v>25</v>
      </c>
      <c r="T467" s="56">
        <v>183350799.54</v>
      </c>
      <c r="U467" s="56">
        <v>4</v>
      </c>
      <c r="V467" s="56">
        <v>0</v>
      </c>
      <c r="W467" s="56">
        <v>4397505.32</v>
      </c>
      <c r="X467" s="56">
        <v>3578865.54</v>
      </c>
      <c r="Y467" s="55" t="s">
        <v>272</v>
      </c>
    </row>
    <row r="468" spans="1:25">
      <c r="A468" s="55" t="s">
        <v>1012</v>
      </c>
      <c r="B468" s="56">
        <v>42</v>
      </c>
      <c r="C468" s="56">
        <v>0</v>
      </c>
      <c r="D468" s="56">
        <v>0</v>
      </c>
      <c r="F468" s="56">
        <v>3199678.976</v>
      </c>
      <c r="G468" s="56">
        <v>2939056.4</v>
      </c>
      <c r="H468" s="56">
        <v>0</v>
      </c>
      <c r="I468" s="56">
        <v>3199678.976</v>
      </c>
      <c r="J468" s="56">
        <v>0</v>
      </c>
      <c r="K468" s="56">
        <v>2</v>
      </c>
      <c r="L468" s="56">
        <v>0</v>
      </c>
      <c r="M468" s="56">
        <v>1</v>
      </c>
      <c r="N468" s="56">
        <v>0</v>
      </c>
      <c r="O468" s="56">
        <v>1</v>
      </c>
      <c r="P468" s="56">
        <v>1</v>
      </c>
      <c r="Q468" s="56">
        <v>2939056.4</v>
      </c>
      <c r="R468" s="56">
        <v>79187942.3</v>
      </c>
      <c r="S468" s="56">
        <v>56</v>
      </c>
      <c r="T468" s="56">
        <v>2939056.4</v>
      </c>
      <c r="U468" s="56">
        <v>0</v>
      </c>
      <c r="V468" s="56">
        <v>0</v>
      </c>
      <c r="W468" s="56">
        <v>3199678.98</v>
      </c>
      <c r="X468" s="56">
        <v>2939056.4</v>
      </c>
      <c r="Y468" s="55" t="s">
        <v>272</v>
      </c>
    </row>
    <row r="469" spans="1:25">
      <c r="A469" s="55" t="s">
        <v>1013</v>
      </c>
      <c r="B469" s="56">
        <v>21</v>
      </c>
      <c r="C469" s="56">
        <v>0</v>
      </c>
      <c r="D469" s="56">
        <v>0</v>
      </c>
      <c r="E469" s="56">
        <v>521500000</v>
      </c>
      <c r="F469" s="56">
        <v>15356428.54</v>
      </c>
      <c r="G469" s="56">
        <v>0</v>
      </c>
      <c r="H469" s="56">
        <v>1311200000</v>
      </c>
      <c r="I469" s="56">
        <v>0</v>
      </c>
      <c r="J469" s="56">
        <v>82245593.5</v>
      </c>
      <c r="K469" s="56">
        <v>131</v>
      </c>
      <c r="L469" s="56">
        <v>0</v>
      </c>
      <c r="M469" s="56">
        <v>2</v>
      </c>
      <c r="N469" s="56">
        <v>0</v>
      </c>
      <c r="O469" s="56">
        <v>1</v>
      </c>
      <c r="P469" s="56">
        <v>1</v>
      </c>
      <c r="Q469" s="56">
        <v>82245593.5</v>
      </c>
      <c r="R469" s="56">
        <v>3163888117.59</v>
      </c>
      <c r="S469" s="56">
        <v>231</v>
      </c>
      <c r="T469" s="56">
        <v>82245593.5</v>
      </c>
      <c r="U469" s="56">
        <v>0</v>
      </c>
      <c r="V469" s="56">
        <v>0</v>
      </c>
      <c r="W469" s="56">
        <v>4112279.68</v>
      </c>
      <c r="X469" s="56">
        <v>1311200000</v>
      </c>
      <c r="Y469" s="55" t="s">
        <v>272</v>
      </c>
    </row>
    <row r="470" spans="1:25">
      <c r="A470" s="55" t="s">
        <v>1014</v>
      </c>
      <c r="B470" s="56">
        <v>8</v>
      </c>
      <c r="C470" s="56">
        <v>0</v>
      </c>
      <c r="D470" s="56">
        <v>0</v>
      </c>
      <c r="E470" s="56">
        <v>52150000</v>
      </c>
      <c r="F470" s="56">
        <v>1146385.145</v>
      </c>
      <c r="G470" s="56">
        <v>0</v>
      </c>
      <c r="H470" s="56">
        <v>84930000</v>
      </c>
      <c r="I470" s="56">
        <v>0</v>
      </c>
      <c r="J470" s="56">
        <v>12112927.2</v>
      </c>
      <c r="K470" s="56">
        <v>33.5</v>
      </c>
      <c r="M470" s="56">
        <v>1</v>
      </c>
      <c r="N470" s="56">
        <v>0</v>
      </c>
      <c r="O470" s="56">
        <v>1</v>
      </c>
      <c r="P470" s="56">
        <v>1</v>
      </c>
      <c r="Q470" s="56">
        <v>12112927.2</v>
      </c>
      <c r="R470" s="56">
        <v>129631904.22</v>
      </c>
      <c r="S470" s="56">
        <v>61</v>
      </c>
      <c r="T470" s="56">
        <v>12112927.2</v>
      </c>
      <c r="U470" s="56">
        <v>0</v>
      </c>
      <c r="V470" s="56">
        <v>0</v>
      </c>
      <c r="W470" s="56">
        <v>605646.36</v>
      </c>
      <c r="X470" s="56">
        <v>84930000</v>
      </c>
      <c r="Y470" s="55" t="s">
        <v>272</v>
      </c>
    </row>
    <row r="471" spans="1:25">
      <c r="A471" s="55" t="s">
        <v>1015</v>
      </c>
      <c r="B471" s="56">
        <v>7</v>
      </c>
      <c r="C471" s="56">
        <v>0</v>
      </c>
      <c r="D471" s="56">
        <v>0</v>
      </c>
      <c r="E471" s="56">
        <v>132927370</v>
      </c>
      <c r="F471" s="56">
        <v>13233643.83</v>
      </c>
      <c r="G471" s="56">
        <v>166728065.8</v>
      </c>
      <c r="H471" s="56">
        <v>170177370</v>
      </c>
      <c r="I471" s="56">
        <v>5542519.838</v>
      </c>
      <c r="J471" s="56">
        <v>683202</v>
      </c>
      <c r="K471" s="56">
        <v>88.25</v>
      </c>
      <c r="M471" s="56">
        <v>1</v>
      </c>
      <c r="N471" s="56">
        <v>0</v>
      </c>
      <c r="O471" s="56">
        <v>1</v>
      </c>
      <c r="P471" s="56">
        <v>1</v>
      </c>
      <c r="Q471" s="56">
        <v>167411267.8</v>
      </c>
      <c r="R471" s="56">
        <v>1649263371.8</v>
      </c>
      <c r="S471" s="56">
        <v>135</v>
      </c>
      <c r="T471" s="56">
        <v>906064208.8</v>
      </c>
      <c r="U471" s="56">
        <v>0</v>
      </c>
      <c r="V471" s="56">
        <v>0</v>
      </c>
      <c r="W471" s="56">
        <v>18810323.77</v>
      </c>
      <c r="X471" s="56">
        <v>336905435.8</v>
      </c>
      <c r="Y471" s="55" t="s">
        <v>272</v>
      </c>
    </row>
    <row r="472" spans="1:25">
      <c r="A472" s="55" t="s">
        <v>1016</v>
      </c>
      <c r="B472" s="56">
        <v>26</v>
      </c>
      <c r="C472" s="56">
        <v>0</v>
      </c>
      <c r="D472" s="56">
        <v>0</v>
      </c>
      <c r="E472" s="56">
        <v>208600000</v>
      </c>
      <c r="F472" s="56">
        <v>3977587.186</v>
      </c>
      <c r="G472" s="56">
        <v>0</v>
      </c>
      <c r="H472" s="56">
        <v>578120000</v>
      </c>
      <c r="I472" s="56">
        <v>0</v>
      </c>
      <c r="J472" s="56">
        <v>3002114.71</v>
      </c>
      <c r="K472" s="56">
        <v>99.2</v>
      </c>
      <c r="L472" s="56">
        <v>0</v>
      </c>
      <c r="M472" s="56">
        <v>1</v>
      </c>
      <c r="N472" s="56">
        <v>0</v>
      </c>
      <c r="O472" s="56">
        <v>1</v>
      </c>
      <c r="P472" s="56">
        <v>1</v>
      </c>
      <c r="Q472" s="56">
        <v>3002114.71</v>
      </c>
      <c r="R472" s="56">
        <v>3236041600</v>
      </c>
      <c r="S472" s="56">
        <v>195</v>
      </c>
      <c r="T472" s="56">
        <v>3002114.71</v>
      </c>
      <c r="U472" s="56">
        <v>0</v>
      </c>
      <c r="V472" s="56">
        <v>0</v>
      </c>
      <c r="W472" s="56">
        <v>150105.74</v>
      </c>
      <c r="X472" s="56">
        <v>578120000</v>
      </c>
      <c r="Y472" s="55" t="s">
        <v>272</v>
      </c>
    </row>
    <row r="473" spans="1:25">
      <c r="A473" s="55" t="s">
        <v>1017</v>
      </c>
      <c r="B473" s="56">
        <v>36</v>
      </c>
      <c r="C473" s="56">
        <v>0</v>
      </c>
      <c r="D473" s="56">
        <v>0</v>
      </c>
      <c r="E473" s="56">
        <v>238400000</v>
      </c>
      <c r="F473" s="56">
        <v>207108706.9</v>
      </c>
      <c r="G473" s="56">
        <v>4298028.85</v>
      </c>
      <c r="H473" s="56">
        <v>238400000</v>
      </c>
      <c r="I473" s="56">
        <v>635641.9063</v>
      </c>
      <c r="J473" s="56">
        <v>76199998.73</v>
      </c>
      <c r="K473" s="56">
        <v>5</v>
      </c>
      <c r="L473" s="56">
        <v>0</v>
      </c>
      <c r="M473" s="56">
        <v>2</v>
      </c>
      <c r="N473" s="56">
        <v>0</v>
      </c>
      <c r="O473" s="56">
        <v>1</v>
      </c>
      <c r="P473" s="56">
        <v>1</v>
      </c>
      <c r="Q473" s="56">
        <v>80498027.58</v>
      </c>
      <c r="R473" s="56">
        <v>6509027228.5</v>
      </c>
      <c r="S473" s="56">
        <v>44</v>
      </c>
      <c r="T473" s="56">
        <v>5038831360.58</v>
      </c>
      <c r="U473" s="56">
        <v>0</v>
      </c>
      <c r="V473" s="56">
        <v>0</v>
      </c>
      <c r="W473" s="56">
        <v>211554348.74</v>
      </c>
      <c r="X473" s="56">
        <v>242698028.85</v>
      </c>
      <c r="Y473" s="55" t="s">
        <v>272</v>
      </c>
    </row>
    <row r="474" spans="1:25">
      <c r="A474" s="55" t="s">
        <v>1018</v>
      </c>
      <c r="B474" s="56">
        <v>24</v>
      </c>
      <c r="C474" s="56">
        <v>0</v>
      </c>
      <c r="D474" s="56">
        <v>0</v>
      </c>
      <c r="F474" s="56">
        <v>4530307.126</v>
      </c>
      <c r="G474" s="56">
        <v>36215241.5</v>
      </c>
      <c r="H474" s="56">
        <v>0</v>
      </c>
      <c r="I474" s="56">
        <v>6130821.97476</v>
      </c>
      <c r="J474" s="56">
        <v>0</v>
      </c>
      <c r="K474" s="56">
        <v>2.25</v>
      </c>
      <c r="L474" s="56">
        <v>0</v>
      </c>
      <c r="M474" s="56">
        <v>1</v>
      </c>
      <c r="N474" s="56">
        <v>0</v>
      </c>
      <c r="O474" s="56">
        <v>1</v>
      </c>
      <c r="P474" s="56">
        <v>1</v>
      </c>
      <c r="Q474" s="56">
        <v>36215241.5</v>
      </c>
      <c r="R474" s="56">
        <v>43840372.81</v>
      </c>
      <c r="S474" s="56">
        <v>33</v>
      </c>
      <c r="T474" s="56">
        <v>36215241.5</v>
      </c>
      <c r="U474" s="56">
        <v>0</v>
      </c>
      <c r="V474" s="56">
        <v>0</v>
      </c>
      <c r="W474" s="56">
        <v>6130821.97</v>
      </c>
      <c r="X474" s="56">
        <v>36215241.5</v>
      </c>
      <c r="Y474" s="55" t="s">
        <v>272</v>
      </c>
    </row>
    <row r="475" spans="1:25">
      <c r="A475" s="55" t="s">
        <v>1019</v>
      </c>
      <c r="B475" s="56">
        <v>3</v>
      </c>
      <c r="C475" s="56">
        <v>0</v>
      </c>
      <c r="D475" s="56">
        <v>0</v>
      </c>
      <c r="E475" s="56">
        <v>217540000</v>
      </c>
      <c r="F475" s="56">
        <v>5830445.539</v>
      </c>
      <c r="G475" s="56">
        <v>0</v>
      </c>
      <c r="H475" s="56">
        <v>351640000</v>
      </c>
      <c r="I475" s="56">
        <v>0</v>
      </c>
      <c r="J475" s="56">
        <v>0</v>
      </c>
      <c r="K475" s="56">
        <v>38.5</v>
      </c>
      <c r="N475" s="56">
        <v>0</v>
      </c>
      <c r="O475" s="56">
        <v>1</v>
      </c>
      <c r="P475" s="56">
        <v>1</v>
      </c>
      <c r="Q475" s="56">
        <v>0</v>
      </c>
      <c r="R475" s="56">
        <v>500640000</v>
      </c>
      <c r="S475" s="56">
        <v>61</v>
      </c>
      <c r="T475" s="56">
        <v>0</v>
      </c>
      <c r="U475" s="56">
        <v>0</v>
      </c>
      <c r="V475" s="56">
        <v>0</v>
      </c>
      <c r="W475" s="56">
        <v>0</v>
      </c>
      <c r="X475" s="56">
        <v>351640000</v>
      </c>
      <c r="Y475" s="55" t="s">
        <v>272</v>
      </c>
    </row>
    <row r="476" spans="1:25">
      <c r="A476" s="55" t="s">
        <v>1020</v>
      </c>
      <c r="B476" s="56">
        <v>1</v>
      </c>
      <c r="C476" s="56">
        <v>0</v>
      </c>
      <c r="D476" s="56">
        <v>0</v>
      </c>
      <c r="E476" s="56">
        <v>149000000</v>
      </c>
      <c r="F476" s="56">
        <v>998635.8096</v>
      </c>
      <c r="G476" s="56">
        <v>0</v>
      </c>
      <c r="H476" s="56">
        <v>149000000</v>
      </c>
      <c r="I476" s="56">
        <v>0</v>
      </c>
      <c r="J476" s="56">
        <v>56438759.56</v>
      </c>
      <c r="K476" s="56">
        <v>104</v>
      </c>
      <c r="N476" s="56">
        <v>0</v>
      </c>
      <c r="O476" s="56">
        <v>1</v>
      </c>
      <c r="P476" s="56">
        <v>1</v>
      </c>
      <c r="Q476" s="56">
        <v>56438759.56</v>
      </c>
      <c r="R476" s="56">
        <v>149000000</v>
      </c>
      <c r="S476" s="56">
        <v>104</v>
      </c>
      <c r="T476" s="56">
        <v>56438759.56</v>
      </c>
      <c r="U476" s="56">
        <v>0</v>
      </c>
      <c r="V476" s="56">
        <v>0</v>
      </c>
      <c r="W476" s="56">
        <v>2821937.98</v>
      </c>
      <c r="X476" s="56">
        <v>149000000</v>
      </c>
      <c r="Y476" s="55" t="s">
        <v>272</v>
      </c>
    </row>
    <row r="477" spans="1:25">
      <c r="A477" s="55" t="s">
        <v>1021</v>
      </c>
      <c r="B477" s="56">
        <v>3</v>
      </c>
      <c r="C477" s="56">
        <v>0</v>
      </c>
      <c r="D477" s="56">
        <v>0</v>
      </c>
      <c r="E477" s="56">
        <v>44700000</v>
      </c>
      <c r="F477" s="56">
        <v>984722.9334</v>
      </c>
      <c r="G477" s="56">
        <v>0</v>
      </c>
      <c r="H477" s="56">
        <v>44700000</v>
      </c>
      <c r="I477" s="56">
        <v>0</v>
      </c>
      <c r="J477" s="56">
        <v>17770072.5</v>
      </c>
      <c r="K477" s="56">
        <v>15</v>
      </c>
      <c r="N477" s="56">
        <v>0</v>
      </c>
      <c r="O477" s="56">
        <v>1</v>
      </c>
      <c r="P477" s="56">
        <v>1</v>
      </c>
      <c r="Q477" s="56">
        <v>17770072.5</v>
      </c>
      <c r="R477" s="56">
        <v>44700000</v>
      </c>
      <c r="S477" s="56">
        <v>39</v>
      </c>
      <c r="T477" s="56">
        <v>17770072.5</v>
      </c>
      <c r="U477" s="56">
        <v>0</v>
      </c>
      <c r="V477" s="56">
        <v>0</v>
      </c>
      <c r="W477" s="56">
        <v>888503.63</v>
      </c>
      <c r="X477" s="56">
        <v>44700000</v>
      </c>
      <c r="Y477" s="55" t="s">
        <v>272</v>
      </c>
    </row>
    <row r="478" spans="1:25">
      <c r="A478" s="55" t="s">
        <v>1022</v>
      </c>
      <c r="B478" s="56">
        <v>1</v>
      </c>
      <c r="C478" s="56">
        <v>0</v>
      </c>
      <c r="D478" s="56">
        <v>0</v>
      </c>
      <c r="F478" s="56">
        <v>4174563.195</v>
      </c>
      <c r="G478" s="56">
        <v>0</v>
      </c>
      <c r="H478" s="56">
        <v>0</v>
      </c>
      <c r="I478" s="56">
        <v>0</v>
      </c>
      <c r="J478" s="56">
        <v>0</v>
      </c>
      <c r="K478" s="56">
        <v>88</v>
      </c>
      <c r="N478" s="56">
        <v>0</v>
      </c>
      <c r="O478" s="56">
        <v>1</v>
      </c>
      <c r="P478" s="56">
        <v>1</v>
      </c>
      <c r="Q478" s="56">
        <v>0</v>
      </c>
      <c r="R478" s="56">
        <v>351267500</v>
      </c>
      <c r="S478" s="56">
        <v>88</v>
      </c>
      <c r="T478" s="56">
        <v>220694170.4</v>
      </c>
      <c r="U478" s="56">
        <v>0</v>
      </c>
      <c r="V478" s="56">
        <v>0</v>
      </c>
      <c r="W478" s="56">
        <v>4174563.2</v>
      </c>
      <c r="X478" s="56">
        <v>0</v>
      </c>
      <c r="Y478" s="55" t="s">
        <v>272</v>
      </c>
    </row>
    <row r="479" spans="1:25">
      <c r="A479" s="55" t="s">
        <v>1023</v>
      </c>
      <c r="B479" s="56">
        <v>5</v>
      </c>
      <c r="C479" s="56">
        <v>0</v>
      </c>
      <c r="D479" s="56">
        <v>0</v>
      </c>
      <c r="E479" s="56">
        <v>372500000</v>
      </c>
      <c r="F479" s="56">
        <v>10077376.53</v>
      </c>
      <c r="G479" s="56">
        <v>0</v>
      </c>
      <c r="H479" s="56">
        <v>399320000</v>
      </c>
      <c r="I479" s="56">
        <v>0</v>
      </c>
      <c r="J479" s="56">
        <v>4008218.22</v>
      </c>
      <c r="K479" s="56">
        <v>66</v>
      </c>
      <c r="N479" s="56">
        <v>0</v>
      </c>
      <c r="O479" s="56">
        <v>1</v>
      </c>
      <c r="P479" s="56">
        <v>1</v>
      </c>
      <c r="Q479" s="56">
        <v>4008218.22</v>
      </c>
      <c r="R479" s="56">
        <v>657655793.2</v>
      </c>
      <c r="S479" s="56">
        <v>129</v>
      </c>
      <c r="T479" s="56">
        <v>4008218.22</v>
      </c>
      <c r="U479" s="56">
        <v>0</v>
      </c>
      <c r="V479" s="56">
        <v>0</v>
      </c>
      <c r="W479" s="56">
        <v>200410.91</v>
      </c>
      <c r="X479" s="56">
        <v>399320000</v>
      </c>
      <c r="Y479" s="55" t="s">
        <v>272</v>
      </c>
    </row>
    <row r="480" spans="1:25">
      <c r="A480" s="55" t="s">
        <v>1024</v>
      </c>
      <c r="B480" s="56">
        <v>8</v>
      </c>
      <c r="C480" s="56">
        <v>0</v>
      </c>
      <c r="D480" s="56">
        <v>0</v>
      </c>
      <c r="E480" s="56">
        <v>298000000</v>
      </c>
      <c r="F480" s="56">
        <v>7986911.698</v>
      </c>
      <c r="G480" s="56">
        <v>0</v>
      </c>
      <c r="H480" s="56">
        <v>455940000</v>
      </c>
      <c r="I480" s="56">
        <v>0</v>
      </c>
      <c r="J480" s="56">
        <v>0</v>
      </c>
      <c r="K480" s="56">
        <v>7.5</v>
      </c>
      <c r="L480" s="56">
        <v>0</v>
      </c>
      <c r="M480" s="56">
        <v>1</v>
      </c>
      <c r="N480" s="56">
        <v>0</v>
      </c>
      <c r="O480" s="56">
        <v>1</v>
      </c>
      <c r="P480" s="56">
        <v>1</v>
      </c>
      <c r="Q480" s="56">
        <v>0</v>
      </c>
      <c r="R480" s="56">
        <v>543105000</v>
      </c>
      <c r="S480" s="56">
        <v>13</v>
      </c>
      <c r="T480" s="56">
        <v>0</v>
      </c>
      <c r="U480" s="56">
        <v>0</v>
      </c>
      <c r="V480" s="56">
        <v>0</v>
      </c>
      <c r="W480" s="56">
        <v>0</v>
      </c>
      <c r="X480" s="56">
        <v>455940000</v>
      </c>
      <c r="Y480" s="55" t="s">
        <v>272</v>
      </c>
    </row>
    <row r="481" spans="1:25">
      <c r="A481" s="55" t="s">
        <v>1025</v>
      </c>
      <c r="B481" s="56">
        <v>7</v>
      </c>
      <c r="C481" s="56">
        <v>0</v>
      </c>
      <c r="D481" s="56">
        <v>0</v>
      </c>
      <c r="E481" s="56">
        <v>168370000</v>
      </c>
      <c r="F481" s="56">
        <v>2886764.524</v>
      </c>
      <c r="G481" s="56">
        <v>0</v>
      </c>
      <c r="H481" s="56">
        <v>208600000</v>
      </c>
      <c r="I481" s="56">
        <v>0</v>
      </c>
      <c r="J481" s="56">
        <v>4215139.74</v>
      </c>
      <c r="K481" s="56">
        <v>151.5</v>
      </c>
      <c r="M481" s="56">
        <v>1</v>
      </c>
      <c r="N481" s="56">
        <v>0</v>
      </c>
      <c r="O481" s="56">
        <v>1</v>
      </c>
      <c r="P481" s="56">
        <v>1</v>
      </c>
      <c r="Q481" s="56">
        <v>4215139.74</v>
      </c>
      <c r="R481" s="56">
        <v>376970000</v>
      </c>
      <c r="S481" s="56">
        <v>309</v>
      </c>
      <c r="T481" s="56">
        <v>4215139.74</v>
      </c>
      <c r="U481" s="56">
        <v>0</v>
      </c>
      <c r="V481" s="56">
        <v>0</v>
      </c>
      <c r="W481" s="56">
        <v>210756.99</v>
      </c>
      <c r="X481" s="56">
        <v>208600000</v>
      </c>
      <c r="Y481" s="55" t="s">
        <v>272</v>
      </c>
    </row>
    <row r="482" spans="1:25">
      <c r="A482" s="55" t="s">
        <v>1026</v>
      </c>
      <c r="B482" s="56">
        <v>7</v>
      </c>
      <c r="C482" s="56">
        <v>0</v>
      </c>
      <c r="D482" s="56">
        <v>0</v>
      </c>
      <c r="E482" s="56">
        <v>223500000</v>
      </c>
      <c r="F482" s="56">
        <v>6920832.825</v>
      </c>
      <c r="G482" s="56">
        <v>0</v>
      </c>
      <c r="H482" s="56">
        <v>357600000</v>
      </c>
      <c r="I482" s="56">
        <v>0</v>
      </c>
      <c r="J482" s="56">
        <v>68539008.47</v>
      </c>
      <c r="K482" s="56">
        <v>25.33</v>
      </c>
      <c r="L482" s="56">
        <v>0</v>
      </c>
      <c r="M482" s="56">
        <v>4</v>
      </c>
      <c r="N482" s="56">
        <v>0</v>
      </c>
      <c r="O482" s="56">
        <v>1</v>
      </c>
      <c r="P482" s="56">
        <v>4</v>
      </c>
      <c r="Q482" s="56">
        <v>68539008.47</v>
      </c>
      <c r="R482" s="56">
        <v>493190000</v>
      </c>
      <c r="S482" s="56">
        <v>66</v>
      </c>
      <c r="T482" s="56">
        <v>68539008.47</v>
      </c>
      <c r="U482" s="56">
        <v>0</v>
      </c>
      <c r="V482" s="56">
        <v>0</v>
      </c>
      <c r="W482" s="56">
        <v>3426950.42</v>
      </c>
      <c r="X482" s="56">
        <v>357600000</v>
      </c>
      <c r="Y482" s="55" t="s">
        <v>272</v>
      </c>
    </row>
    <row r="483" spans="1:25">
      <c r="A483" s="55" t="s">
        <v>1027</v>
      </c>
      <c r="B483" s="56">
        <v>5</v>
      </c>
      <c r="C483" s="56">
        <v>0</v>
      </c>
      <c r="D483" s="56">
        <v>0</v>
      </c>
      <c r="G483" s="56">
        <v>0</v>
      </c>
      <c r="H483" s="56">
        <v>0</v>
      </c>
      <c r="I483" s="56">
        <v>0</v>
      </c>
      <c r="J483" s="56">
        <v>0</v>
      </c>
      <c r="Q483" s="56">
        <v>0</v>
      </c>
      <c r="R483" s="56">
        <v>156450000</v>
      </c>
      <c r="S483" s="56">
        <v>198</v>
      </c>
      <c r="T483" s="56">
        <v>0</v>
      </c>
      <c r="U483" s="56">
        <v>0</v>
      </c>
      <c r="V483" s="56">
        <v>0</v>
      </c>
      <c r="W483" s="56">
        <v>0</v>
      </c>
      <c r="X483" s="56">
        <v>0</v>
      </c>
      <c r="Y483" s="55" t="s">
        <v>272</v>
      </c>
    </row>
    <row r="484" spans="1:25">
      <c r="A484" s="55" t="s">
        <v>1028</v>
      </c>
      <c r="B484" s="56">
        <v>25</v>
      </c>
      <c r="C484" s="56">
        <v>0</v>
      </c>
      <c r="D484" s="56">
        <v>0</v>
      </c>
      <c r="E484" s="56">
        <v>62580000</v>
      </c>
      <c r="F484" s="56">
        <v>1677251.456</v>
      </c>
      <c r="G484" s="56">
        <v>0</v>
      </c>
      <c r="H484" s="56">
        <v>150937000</v>
      </c>
      <c r="I484" s="56">
        <v>0</v>
      </c>
      <c r="J484" s="56">
        <v>4952992.08</v>
      </c>
      <c r="K484" s="56">
        <v>127.2</v>
      </c>
      <c r="L484" s="56">
        <v>0</v>
      </c>
      <c r="M484" s="56">
        <v>1</v>
      </c>
      <c r="N484" s="56">
        <v>0</v>
      </c>
      <c r="O484" s="56">
        <v>1</v>
      </c>
      <c r="P484" s="56">
        <v>1</v>
      </c>
      <c r="Q484" s="56">
        <v>4952992.08</v>
      </c>
      <c r="R484" s="56">
        <v>192657000</v>
      </c>
      <c r="S484" s="56">
        <v>199</v>
      </c>
      <c r="T484" s="56">
        <v>4952992.08</v>
      </c>
      <c r="U484" s="56">
        <v>0</v>
      </c>
      <c r="V484" s="56">
        <v>0</v>
      </c>
      <c r="W484" s="56">
        <v>247649.6</v>
      </c>
      <c r="X484" s="56">
        <v>150937000</v>
      </c>
      <c r="Y484" s="55" t="s">
        <v>272</v>
      </c>
    </row>
    <row r="485" spans="1:25">
      <c r="A485" s="55" t="s">
        <v>1029</v>
      </c>
      <c r="B485" s="56">
        <v>44</v>
      </c>
      <c r="C485" s="56">
        <v>0</v>
      </c>
      <c r="D485" s="56">
        <v>0</v>
      </c>
      <c r="F485" s="56">
        <v>1703049.046</v>
      </c>
      <c r="G485" s="56">
        <v>2754636.96</v>
      </c>
      <c r="H485" s="56">
        <v>0</v>
      </c>
      <c r="I485" s="56">
        <v>2047315.30202</v>
      </c>
      <c r="J485" s="56">
        <v>0</v>
      </c>
      <c r="K485" s="56">
        <v>6.38</v>
      </c>
      <c r="L485" s="56">
        <v>141</v>
      </c>
      <c r="M485" s="56">
        <v>2</v>
      </c>
      <c r="N485" s="56">
        <v>141</v>
      </c>
      <c r="O485" s="56">
        <v>4</v>
      </c>
      <c r="P485" s="56">
        <v>4</v>
      </c>
      <c r="Q485" s="56">
        <v>2754636.96</v>
      </c>
      <c r="R485" s="56">
        <v>57502647.69</v>
      </c>
      <c r="S485" s="56">
        <v>52</v>
      </c>
      <c r="T485" s="56">
        <v>9236054.460000001</v>
      </c>
      <c r="U485" s="56">
        <v>2</v>
      </c>
      <c r="V485" s="56">
        <v>0</v>
      </c>
      <c r="W485" s="56">
        <v>3750364.35</v>
      </c>
      <c r="X485" s="56">
        <v>2754636.96</v>
      </c>
      <c r="Y485" s="55" t="s">
        <v>272</v>
      </c>
    </row>
    <row r="486" spans="1:25">
      <c r="A486" s="55" t="s">
        <v>1030</v>
      </c>
      <c r="B486" s="56">
        <v>1</v>
      </c>
      <c r="C486" s="56">
        <v>0</v>
      </c>
      <c r="D486" s="56">
        <v>0</v>
      </c>
      <c r="E486" s="56">
        <v>44700000</v>
      </c>
      <c r="F486" s="56">
        <v>1209285.183</v>
      </c>
      <c r="G486" s="56">
        <v>0</v>
      </c>
      <c r="H486" s="56">
        <v>44700000</v>
      </c>
      <c r="I486" s="56">
        <v>0</v>
      </c>
      <c r="J486" s="56">
        <v>0</v>
      </c>
      <c r="K486" s="56">
        <v>13</v>
      </c>
      <c r="N486" s="56">
        <v>0</v>
      </c>
      <c r="O486" s="56">
        <v>1</v>
      </c>
      <c r="P486" s="56">
        <v>1</v>
      </c>
      <c r="Q486" s="56">
        <v>0</v>
      </c>
      <c r="R486" s="56">
        <v>44700000</v>
      </c>
      <c r="S486" s="56">
        <v>13</v>
      </c>
      <c r="T486" s="56">
        <v>0</v>
      </c>
      <c r="U486" s="56">
        <v>0</v>
      </c>
      <c r="V486" s="56">
        <v>0</v>
      </c>
      <c r="W486" s="56">
        <v>0</v>
      </c>
      <c r="X486" s="56">
        <v>44700000</v>
      </c>
      <c r="Y486" s="55" t="s">
        <v>272</v>
      </c>
    </row>
    <row r="487" spans="1:25">
      <c r="A487" s="55" t="s">
        <v>1031</v>
      </c>
      <c r="B487" s="56">
        <v>57</v>
      </c>
      <c r="C487" s="56">
        <v>0</v>
      </c>
      <c r="D487" s="56">
        <v>0</v>
      </c>
      <c r="G487" s="56">
        <v>0</v>
      </c>
      <c r="H487" s="56">
        <v>0</v>
      </c>
      <c r="I487" s="56">
        <v>0</v>
      </c>
      <c r="J487" s="56">
        <v>0</v>
      </c>
      <c r="L487" s="56">
        <v>0</v>
      </c>
      <c r="M487" s="56">
        <v>1</v>
      </c>
      <c r="N487" s="56">
        <v>0</v>
      </c>
      <c r="O487" s="56">
        <v>1</v>
      </c>
      <c r="P487" s="56">
        <v>1</v>
      </c>
      <c r="Q487" s="56">
        <v>0</v>
      </c>
      <c r="R487" s="56">
        <v>987074.34</v>
      </c>
      <c r="S487" s="56">
        <v>45</v>
      </c>
      <c r="T487" s="56">
        <v>0</v>
      </c>
      <c r="U487" s="56">
        <v>0</v>
      </c>
      <c r="V487" s="56">
        <v>0</v>
      </c>
      <c r="W487" s="56">
        <v>0</v>
      </c>
      <c r="X487" s="56">
        <v>0</v>
      </c>
      <c r="Y487" s="55" t="s">
        <v>272</v>
      </c>
    </row>
    <row r="488" spans="1:25">
      <c r="A488" s="55" t="s">
        <v>1032</v>
      </c>
      <c r="B488" s="56">
        <v>28</v>
      </c>
      <c r="C488" s="56">
        <v>0</v>
      </c>
      <c r="D488" s="56">
        <v>0</v>
      </c>
      <c r="F488" s="56">
        <v>10875314.89</v>
      </c>
      <c r="G488" s="56">
        <v>0</v>
      </c>
      <c r="H488" s="56">
        <v>0</v>
      </c>
      <c r="I488" s="56">
        <v>0</v>
      </c>
      <c r="J488" s="56">
        <v>0</v>
      </c>
      <c r="K488" s="56">
        <v>1</v>
      </c>
      <c r="L488" s="56">
        <v>0</v>
      </c>
      <c r="M488" s="56">
        <v>1</v>
      </c>
      <c r="N488" s="56">
        <v>0</v>
      </c>
      <c r="O488" s="56">
        <v>1</v>
      </c>
      <c r="P488" s="56">
        <v>1</v>
      </c>
      <c r="Q488" s="56">
        <v>2989592.85</v>
      </c>
      <c r="R488" s="56">
        <v>1415539857.93</v>
      </c>
      <c r="S488" s="56">
        <v>23</v>
      </c>
      <c r="T488" s="56">
        <v>1328195842.85</v>
      </c>
      <c r="U488" s="56">
        <v>0</v>
      </c>
      <c r="V488" s="56">
        <v>0</v>
      </c>
      <c r="W488" s="56">
        <v>10968203.49</v>
      </c>
      <c r="X488" s="56">
        <v>0</v>
      </c>
      <c r="Y488" s="55" t="s">
        <v>272</v>
      </c>
    </row>
    <row r="489" spans="1:25">
      <c r="A489" s="55" t="s">
        <v>1033</v>
      </c>
      <c r="B489" s="56">
        <v>66</v>
      </c>
      <c r="C489" s="56">
        <v>0</v>
      </c>
      <c r="D489" s="56">
        <v>5</v>
      </c>
      <c r="F489" s="56">
        <v>14460504.07</v>
      </c>
      <c r="G489" s="56">
        <v>31119015.89</v>
      </c>
      <c r="H489" s="56">
        <v>0</v>
      </c>
      <c r="I489" s="56">
        <v>13259003.8605</v>
      </c>
      <c r="J489" s="56">
        <v>0</v>
      </c>
      <c r="K489" s="56">
        <v>4.33</v>
      </c>
      <c r="L489" s="56">
        <v>180</v>
      </c>
      <c r="M489" s="56">
        <v>2</v>
      </c>
      <c r="N489" s="56">
        <v>523</v>
      </c>
      <c r="O489" s="56">
        <v>5</v>
      </c>
      <c r="P489" s="56">
        <v>5</v>
      </c>
      <c r="Q489" s="56">
        <v>133462812.19</v>
      </c>
      <c r="R489" s="56">
        <v>761163892.5</v>
      </c>
      <c r="S489" s="56">
        <v>208</v>
      </c>
      <c r="T489" s="56">
        <v>384514254.2900001</v>
      </c>
      <c r="U489" s="56">
        <v>1</v>
      </c>
      <c r="V489" s="56">
        <v>0</v>
      </c>
      <c r="W489" s="56">
        <v>27719507.93</v>
      </c>
      <c r="X489" s="56">
        <v>31119015.89</v>
      </c>
      <c r="Y489" s="55" t="s">
        <v>546</v>
      </c>
    </row>
    <row r="490" spans="1:25">
      <c r="A490" s="55" t="s">
        <v>1034</v>
      </c>
      <c r="B490" s="56">
        <v>5</v>
      </c>
      <c r="C490" s="56">
        <v>0</v>
      </c>
      <c r="D490" s="56">
        <v>0</v>
      </c>
      <c r="E490" s="56">
        <v>44700000</v>
      </c>
      <c r="F490" s="56">
        <v>37712341.11</v>
      </c>
      <c r="G490" s="56">
        <v>0</v>
      </c>
      <c r="H490" s="56">
        <v>44700000</v>
      </c>
      <c r="I490" s="56">
        <v>0</v>
      </c>
      <c r="J490" s="56">
        <v>11485146.06</v>
      </c>
      <c r="K490" s="56">
        <v>73.5</v>
      </c>
      <c r="L490" s="56">
        <v>0</v>
      </c>
      <c r="M490" s="56">
        <v>1</v>
      </c>
      <c r="N490" s="56">
        <v>0</v>
      </c>
      <c r="O490" s="56">
        <v>1</v>
      </c>
      <c r="P490" s="56">
        <v>1</v>
      </c>
      <c r="Q490" s="56">
        <v>11485146.06</v>
      </c>
      <c r="R490" s="56">
        <v>588674313.7</v>
      </c>
      <c r="S490" s="56">
        <v>88</v>
      </c>
      <c r="T490" s="56">
        <v>364046110.66</v>
      </c>
      <c r="U490" s="56">
        <v>0</v>
      </c>
      <c r="V490" s="56">
        <v>0</v>
      </c>
      <c r="W490" s="56">
        <v>38286598.41</v>
      </c>
      <c r="X490" s="56">
        <v>44700000</v>
      </c>
      <c r="Y490" s="55" t="s">
        <v>272</v>
      </c>
    </row>
    <row r="491" spans="1:25">
      <c r="A491" s="55" t="s">
        <v>1035</v>
      </c>
      <c r="B491" s="56">
        <v>3</v>
      </c>
      <c r="C491" s="56">
        <v>0</v>
      </c>
      <c r="D491" s="56">
        <v>0</v>
      </c>
      <c r="E491" s="56">
        <v>14900000</v>
      </c>
      <c r="F491" s="56">
        <v>166439.3016</v>
      </c>
      <c r="G491" s="56">
        <v>0</v>
      </c>
      <c r="H491" s="56">
        <v>14900000</v>
      </c>
      <c r="I491" s="56">
        <v>0</v>
      </c>
      <c r="J491" s="56">
        <v>0</v>
      </c>
      <c r="K491" s="56">
        <v>132</v>
      </c>
      <c r="N491" s="56">
        <v>0</v>
      </c>
      <c r="O491" s="56">
        <v>1</v>
      </c>
      <c r="P491" s="56">
        <v>2</v>
      </c>
      <c r="Q491" s="56">
        <v>0</v>
      </c>
      <c r="R491" s="56">
        <v>163900000</v>
      </c>
      <c r="S491" s="56">
        <v>132</v>
      </c>
      <c r="T491" s="56">
        <v>0</v>
      </c>
      <c r="U491" s="56">
        <v>1</v>
      </c>
      <c r="V491" s="56">
        <v>0</v>
      </c>
      <c r="W491" s="56">
        <v>0</v>
      </c>
      <c r="X491" s="56">
        <v>14900000</v>
      </c>
      <c r="Y491" s="55" t="s">
        <v>272</v>
      </c>
    </row>
    <row r="492" spans="1:25">
      <c r="A492" s="55" t="s">
        <v>1036</v>
      </c>
      <c r="B492" s="56">
        <v>5</v>
      </c>
      <c r="C492" s="56">
        <v>0</v>
      </c>
      <c r="D492" s="56">
        <v>0</v>
      </c>
      <c r="E492" s="56">
        <v>221116000</v>
      </c>
      <c r="F492" s="56">
        <v>31073417.94</v>
      </c>
      <c r="G492" s="56">
        <v>0</v>
      </c>
      <c r="H492" s="56">
        <v>250916000</v>
      </c>
      <c r="I492" s="56">
        <v>0</v>
      </c>
      <c r="J492" s="56">
        <v>2649061.8</v>
      </c>
      <c r="K492" s="56">
        <v>8.800000000000001</v>
      </c>
      <c r="L492" s="56">
        <v>0</v>
      </c>
      <c r="N492" s="56">
        <v>0</v>
      </c>
      <c r="O492" s="56">
        <v>1</v>
      </c>
      <c r="P492" s="56">
        <v>1</v>
      </c>
      <c r="Q492" s="56">
        <v>2649061.8</v>
      </c>
      <c r="R492" s="56">
        <v>5069201908.7</v>
      </c>
      <c r="S492" s="56">
        <v>37</v>
      </c>
      <c r="T492" s="56">
        <v>4146957318.75</v>
      </c>
      <c r="U492" s="56">
        <v>0</v>
      </c>
      <c r="V492" s="56">
        <v>0</v>
      </c>
      <c r="W492" s="56">
        <v>51117706.92</v>
      </c>
      <c r="X492" s="56">
        <v>250916000</v>
      </c>
      <c r="Y492" s="55" t="s">
        <v>272</v>
      </c>
    </row>
    <row r="493" spans="1:25">
      <c r="A493" s="55" t="s">
        <v>1037</v>
      </c>
      <c r="B493" s="56">
        <v>11</v>
      </c>
      <c r="C493" s="56">
        <v>0</v>
      </c>
      <c r="D493" s="56">
        <v>1</v>
      </c>
      <c r="E493" s="56">
        <v>219030000</v>
      </c>
      <c r="F493" s="56">
        <v>4012824.883</v>
      </c>
      <c r="G493" s="56">
        <v>0</v>
      </c>
      <c r="H493" s="56">
        <v>219030000</v>
      </c>
      <c r="I493" s="56">
        <v>0</v>
      </c>
      <c r="J493" s="56">
        <v>0</v>
      </c>
      <c r="K493" s="56">
        <v>132</v>
      </c>
      <c r="L493" s="56">
        <v>26</v>
      </c>
      <c r="M493" s="56">
        <v>1</v>
      </c>
      <c r="N493" s="56">
        <v>26</v>
      </c>
      <c r="O493" s="56">
        <v>2</v>
      </c>
      <c r="P493" s="56">
        <v>2</v>
      </c>
      <c r="Q493" s="56">
        <v>0</v>
      </c>
      <c r="R493" s="56">
        <v>498092788.4</v>
      </c>
      <c r="S493" s="56">
        <v>152</v>
      </c>
      <c r="T493" s="56">
        <v>15828075.78</v>
      </c>
      <c r="U493" s="56">
        <v>0</v>
      </c>
      <c r="V493" s="56">
        <v>0</v>
      </c>
      <c r="W493" s="56">
        <v>0</v>
      </c>
      <c r="X493" s="56">
        <v>219030000</v>
      </c>
      <c r="Y493" s="55" t="s">
        <v>546</v>
      </c>
    </row>
    <row r="494" spans="1:25">
      <c r="A494" s="55" t="s">
        <v>1038</v>
      </c>
      <c r="B494" s="56">
        <v>8</v>
      </c>
      <c r="C494" s="56">
        <v>0</v>
      </c>
      <c r="D494" s="56">
        <v>2</v>
      </c>
      <c r="F494" s="56">
        <v>6248732.43</v>
      </c>
      <c r="G494" s="56">
        <v>0</v>
      </c>
      <c r="H494" s="56">
        <v>0</v>
      </c>
      <c r="I494" s="56">
        <v>0</v>
      </c>
      <c r="J494" s="56">
        <v>0</v>
      </c>
      <c r="K494" s="56">
        <v>20</v>
      </c>
      <c r="L494" s="56">
        <v>471</v>
      </c>
      <c r="M494" s="56">
        <v>5</v>
      </c>
      <c r="N494" s="56">
        <v>552</v>
      </c>
      <c r="O494" s="56">
        <v>5</v>
      </c>
      <c r="P494" s="56">
        <v>5</v>
      </c>
      <c r="Q494" s="56">
        <v>7858193.91</v>
      </c>
      <c r="R494" s="56">
        <v>179409782.5</v>
      </c>
      <c r="S494" s="56">
        <v>31</v>
      </c>
      <c r="T494" s="56">
        <v>123077214.61</v>
      </c>
      <c r="U494" s="56">
        <v>1</v>
      </c>
      <c r="V494" s="56">
        <v>0</v>
      </c>
      <c r="W494" s="56">
        <v>6248732.43</v>
      </c>
      <c r="X494" s="56">
        <v>0</v>
      </c>
      <c r="Y494" s="55" t="s">
        <v>546</v>
      </c>
    </row>
    <row r="495" spans="1:25">
      <c r="A495" s="55" t="s">
        <v>1039</v>
      </c>
      <c r="B495" s="56">
        <v>65</v>
      </c>
      <c r="C495" s="56">
        <v>0</v>
      </c>
      <c r="D495" s="56">
        <v>0</v>
      </c>
      <c r="E495" s="56">
        <v>19370000</v>
      </c>
      <c r="F495" s="56">
        <v>1448603.482</v>
      </c>
      <c r="G495" s="56">
        <v>359332.75</v>
      </c>
      <c r="H495" s="56">
        <v>38740000</v>
      </c>
      <c r="I495" s="56">
        <v>512013.0676</v>
      </c>
      <c r="J495" s="56">
        <v>6050</v>
      </c>
      <c r="K495" s="56">
        <v>43.5</v>
      </c>
      <c r="L495" s="56">
        <v>0</v>
      </c>
      <c r="M495" s="56">
        <v>1</v>
      </c>
      <c r="N495" s="56">
        <v>0</v>
      </c>
      <c r="O495" s="56">
        <v>1</v>
      </c>
      <c r="P495" s="56">
        <v>1</v>
      </c>
      <c r="Q495" s="56">
        <v>365382.75</v>
      </c>
      <c r="R495" s="56">
        <v>535486261.9700001</v>
      </c>
      <c r="S495" s="56">
        <v>99</v>
      </c>
      <c r="T495" s="56">
        <v>133114735.25</v>
      </c>
      <c r="U495" s="56">
        <v>0</v>
      </c>
      <c r="V495" s="56">
        <v>0</v>
      </c>
      <c r="W495" s="56">
        <v>1960919.05</v>
      </c>
      <c r="X495" s="56">
        <v>39099332.75</v>
      </c>
      <c r="Y495" s="55" t="s">
        <v>272</v>
      </c>
    </row>
    <row r="496" spans="1:25">
      <c r="A496" s="55" t="s">
        <v>1040</v>
      </c>
      <c r="B496" s="56">
        <v>155</v>
      </c>
      <c r="C496" s="56">
        <v>0</v>
      </c>
      <c r="D496" s="56">
        <v>0</v>
      </c>
      <c r="E496" s="56">
        <v>4470000</v>
      </c>
      <c r="F496" s="56">
        <v>1150990.201</v>
      </c>
      <c r="G496" s="56">
        <v>1978395.21</v>
      </c>
      <c r="H496" s="56">
        <v>4470000</v>
      </c>
      <c r="I496" s="56">
        <v>1832644.2535</v>
      </c>
      <c r="J496" s="56">
        <v>829.28</v>
      </c>
      <c r="K496" s="56">
        <v>9</v>
      </c>
      <c r="L496" s="56">
        <v>0</v>
      </c>
      <c r="M496" s="56">
        <v>2</v>
      </c>
      <c r="N496" s="56">
        <v>0</v>
      </c>
      <c r="O496" s="56">
        <v>1</v>
      </c>
      <c r="P496" s="56">
        <v>2</v>
      </c>
      <c r="Q496" s="56">
        <v>1979224.49</v>
      </c>
      <c r="R496" s="56">
        <v>16512627</v>
      </c>
      <c r="S496" s="56">
        <v>46</v>
      </c>
      <c r="T496" s="56">
        <v>1979224.49</v>
      </c>
      <c r="U496" s="56">
        <v>0</v>
      </c>
      <c r="V496" s="56">
        <v>0</v>
      </c>
      <c r="W496" s="56">
        <v>1832685.72</v>
      </c>
      <c r="X496" s="56">
        <v>6448395.21</v>
      </c>
      <c r="Y496" s="55" t="s">
        <v>272</v>
      </c>
    </row>
    <row r="497" spans="1:25">
      <c r="A497" s="55" t="s">
        <v>1041</v>
      </c>
      <c r="B497" s="56">
        <v>11</v>
      </c>
      <c r="C497" s="56">
        <v>0</v>
      </c>
      <c r="D497" s="56">
        <v>0</v>
      </c>
      <c r="E497" s="56">
        <v>101320000</v>
      </c>
      <c r="F497" s="56">
        <v>3630884.366</v>
      </c>
      <c r="G497" s="56">
        <v>16919471.18</v>
      </c>
      <c r="H497" s="56">
        <v>371010000</v>
      </c>
      <c r="I497" s="56">
        <v>614194.147</v>
      </c>
      <c r="J497" s="56">
        <v>11735012.96</v>
      </c>
      <c r="K497" s="56">
        <v>25.75</v>
      </c>
      <c r="N497" s="56">
        <v>0</v>
      </c>
      <c r="O497" s="56">
        <v>1</v>
      </c>
      <c r="P497" s="56">
        <v>1</v>
      </c>
      <c r="Q497" s="56">
        <v>28654484.14</v>
      </c>
      <c r="R497" s="56">
        <v>3038735017.56</v>
      </c>
      <c r="S497" s="56">
        <v>102</v>
      </c>
      <c r="T497" s="56">
        <v>742359544.1900001</v>
      </c>
      <c r="U497" s="56">
        <v>0</v>
      </c>
      <c r="V497" s="56">
        <v>0</v>
      </c>
      <c r="W497" s="56">
        <v>10407170.34</v>
      </c>
      <c r="X497" s="56">
        <v>387929471.18</v>
      </c>
      <c r="Y497" s="55" t="s">
        <v>272</v>
      </c>
    </row>
    <row r="498" spans="1:25">
      <c r="A498" s="55" t="s">
        <v>1042</v>
      </c>
      <c r="B498" s="56">
        <v>15</v>
      </c>
      <c r="C498" s="56">
        <v>0</v>
      </c>
      <c r="D498" s="56">
        <v>0</v>
      </c>
      <c r="F498" s="56">
        <v>1807048.137</v>
      </c>
      <c r="G498" s="56">
        <v>5891842.960000001</v>
      </c>
      <c r="H498" s="56">
        <v>0</v>
      </c>
      <c r="I498" s="56">
        <v>1866390.451253</v>
      </c>
      <c r="J498" s="56">
        <v>0</v>
      </c>
      <c r="K498" s="56">
        <v>1</v>
      </c>
      <c r="L498" s="56">
        <v>0</v>
      </c>
      <c r="M498" s="56">
        <v>1</v>
      </c>
      <c r="N498" s="56">
        <v>0</v>
      </c>
      <c r="O498" s="56">
        <v>1</v>
      </c>
      <c r="P498" s="56">
        <v>1</v>
      </c>
      <c r="Q498" s="56">
        <v>5891842.960000001</v>
      </c>
      <c r="R498" s="56">
        <v>7557741.9</v>
      </c>
      <c r="S498" s="56">
        <v>13</v>
      </c>
      <c r="T498" s="56">
        <v>5891842.960000001</v>
      </c>
      <c r="U498" s="56">
        <v>0</v>
      </c>
      <c r="V498" s="56">
        <v>0</v>
      </c>
      <c r="W498" s="56">
        <v>1866390.45</v>
      </c>
      <c r="X498" s="56">
        <v>5891842.96</v>
      </c>
      <c r="Y498" s="55" t="s">
        <v>272</v>
      </c>
    </row>
    <row r="499" spans="1:25">
      <c r="A499" s="55" t="s">
        <v>1043</v>
      </c>
      <c r="B499" s="56">
        <v>24</v>
      </c>
      <c r="C499" s="56">
        <v>0</v>
      </c>
      <c r="D499" s="56">
        <v>2</v>
      </c>
      <c r="E499" s="56">
        <v>116220000</v>
      </c>
      <c r="F499" s="56">
        <v>5675349.19</v>
      </c>
      <c r="G499" s="56">
        <v>0</v>
      </c>
      <c r="H499" s="56">
        <v>116220000</v>
      </c>
      <c r="I499" s="56">
        <v>0</v>
      </c>
      <c r="J499" s="56">
        <v>0</v>
      </c>
      <c r="K499" s="56">
        <v>149</v>
      </c>
      <c r="M499" s="56">
        <v>1</v>
      </c>
      <c r="N499" s="56">
        <v>555</v>
      </c>
      <c r="O499" s="56">
        <v>5</v>
      </c>
      <c r="P499" s="56">
        <v>5</v>
      </c>
      <c r="Q499" s="56">
        <v>1989721177</v>
      </c>
      <c r="R499" s="56">
        <v>14220367170.2</v>
      </c>
      <c r="S499" s="56">
        <v>254</v>
      </c>
      <c r="T499" s="56">
        <v>1989721177</v>
      </c>
      <c r="U499" s="56">
        <v>0</v>
      </c>
      <c r="V499" s="56">
        <v>0</v>
      </c>
      <c r="W499" s="56">
        <v>0</v>
      </c>
      <c r="X499" s="56">
        <v>116220000</v>
      </c>
      <c r="Y499" s="55" t="s">
        <v>546</v>
      </c>
    </row>
    <row r="500" spans="1:25">
      <c r="A500" s="55" t="s">
        <v>1044</v>
      </c>
      <c r="B500" s="56">
        <v>1</v>
      </c>
      <c r="C500" s="56">
        <v>0</v>
      </c>
      <c r="D500" s="56">
        <v>0</v>
      </c>
      <c r="E500" s="56">
        <v>29800000</v>
      </c>
      <c r="F500" s="56">
        <v>643268.3826</v>
      </c>
      <c r="G500" s="56">
        <v>0</v>
      </c>
      <c r="H500" s="56">
        <v>29800000</v>
      </c>
      <c r="I500" s="56">
        <v>0</v>
      </c>
      <c r="J500" s="56">
        <v>4600497.72</v>
      </c>
      <c r="K500" s="56">
        <v>141</v>
      </c>
      <c r="N500" s="56">
        <v>0</v>
      </c>
      <c r="O500" s="56">
        <v>1</v>
      </c>
      <c r="P500" s="56">
        <v>1</v>
      </c>
      <c r="Q500" s="56">
        <v>4600497.72</v>
      </c>
      <c r="R500" s="56">
        <v>29800000</v>
      </c>
      <c r="S500" s="56">
        <v>141</v>
      </c>
      <c r="T500" s="56">
        <v>4600497.72</v>
      </c>
      <c r="U500" s="56">
        <v>0</v>
      </c>
      <c r="V500" s="56">
        <v>0</v>
      </c>
      <c r="W500" s="56">
        <v>230024.89</v>
      </c>
      <c r="X500" s="56">
        <v>29800000</v>
      </c>
      <c r="Y500" s="55" t="s">
        <v>272</v>
      </c>
    </row>
    <row r="501" spans="1:25">
      <c r="A501" s="55" t="s">
        <v>1045</v>
      </c>
      <c r="B501" s="56">
        <v>18</v>
      </c>
      <c r="C501" s="56">
        <v>0</v>
      </c>
      <c r="D501" s="56">
        <v>0</v>
      </c>
      <c r="E501" s="56">
        <v>7450000</v>
      </c>
      <c r="F501" s="56">
        <v>164120.4889</v>
      </c>
      <c r="G501" s="56">
        <v>0</v>
      </c>
      <c r="H501" s="56">
        <v>17880000</v>
      </c>
      <c r="I501" s="56">
        <v>0</v>
      </c>
      <c r="J501" s="56">
        <v>979072.61</v>
      </c>
      <c r="K501" s="56">
        <v>7.33</v>
      </c>
      <c r="L501" s="56">
        <v>0</v>
      </c>
      <c r="M501" s="56">
        <v>1</v>
      </c>
      <c r="N501" s="56">
        <v>0</v>
      </c>
      <c r="O501" s="56">
        <v>1</v>
      </c>
      <c r="P501" s="56">
        <v>1</v>
      </c>
      <c r="Q501" s="56">
        <v>979072.61</v>
      </c>
      <c r="R501" s="56">
        <v>18434537.77</v>
      </c>
      <c r="S501" s="56">
        <v>42</v>
      </c>
      <c r="T501" s="56">
        <v>979072.61</v>
      </c>
      <c r="U501" s="56">
        <v>0</v>
      </c>
      <c r="V501" s="56">
        <v>0</v>
      </c>
      <c r="W501" s="56">
        <v>48953.63</v>
      </c>
      <c r="X501" s="56">
        <v>17880000</v>
      </c>
      <c r="Y501" s="55" t="s">
        <v>272</v>
      </c>
    </row>
    <row r="502" spans="1:25">
      <c r="A502" s="55" t="s">
        <v>1046</v>
      </c>
      <c r="B502" s="56">
        <v>1</v>
      </c>
      <c r="C502" s="56">
        <v>0</v>
      </c>
      <c r="D502" s="56">
        <v>0</v>
      </c>
      <c r="E502" s="56">
        <v>44700000</v>
      </c>
      <c r="F502" s="56">
        <v>984722.9334</v>
      </c>
      <c r="G502" s="56">
        <v>0</v>
      </c>
      <c r="H502" s="56">
        <v>44700000</v>
      </c>
      <c r="I502" s="56">
        <v>0</v>
      </c>
      <c r="J502" s="56">
        <v>39633630.78</v>
      </c>
      <c r="K502" s="56">
        <v>3</v>
      </c>
      <c r="N502" s="56">
        <v>0</v>
      </c>
      <c r="O502" s="56">
        <v>1</v>
      </c>
      <c r="P502" s="56">
        <v>1</v>
      </c>
      <c r="Q502" s="56">
        <v>39633630.78</v>
      </c>
      <c r="R502" s="56">
        <v>44700000</v>
      </c>
      <c r="S502" s="56">
        <v>3</v>
      </c>
      <c r="T502" s="56">
        <v>39633630.78</v>
      </c>
      <c r="U502" s="56">
        <v>0</v>
      </c>
      <c r="V502" s="56">
        <v>0</v>
      </c>
      <c r="W502" s="56">
        <v>1981681.54</v>
      </c>
      <c r="X502" s="56">
        <v>44700000</v>
      </c>
      <c r="Y502" s="55" t="s">
        <v>272</v>
      </c>
    </row>
    <row r="503" spans="1:25">
      <c r="A503" s="55" t="s">
        <v>1047</v>
      </c>
      <c r="B503" s="56">
        <v>6</v>
      </c>
      <c r="C503" s="56">
        <v>0</v>
      </c>
      <c r="D503" s="56">
        <v>1</v>
      </c>
      <c r="E503" s="56">
        <v>37250000</v>
      </c>
      <c r="F503" s="56">
        <v>710283.4261</v>
      </c>
      <c r="G503" s="56">
        <v>0</v>
      </c>
      <c r="H503" s="56">
        <v>37250000</v>
      </c>
      <c r="I503" s="56">
        <v>0</v>
      </c>
      <c r="J503" s="56">
        <v>0</v>
      </c>
      <c r="K503" s="56">
        <v>116</v>
      </c>
      <c r="N503" s="56">
        <v>180</v>
      </c>
      <c r="O503" s="56">
        <v>5</v>
      </c>
      <c r="P503" s="56">
        <v>5</v>
      </c>
      <c r="Q503" s="56">
        <v>63292019.84</v>
      </c>
      <c r="R503" s="56">
        <v>153554889.77</v>
      </c>
      <c r="S503" s="56">
        <v>164</v>
      </c>
      <c r="T503" s="56">
        <v>63292019.84</v>
      </c>
      <c r="U503" s="56">
        <v>0</v>
      </c>
      <c r="V503" s="56">
        <v>0</v>
      </c>
      <c r="W503" s="56">
        <v>0</v>
      </c>
      <c r="X503" s="56">
        <v>37250000</v>
      </c>
      <c r="Y503" s="55" t="s">
        <v>546</v>
      </c>
    </row>
    <row r="504" spans="1:25">
      <c r="A504" s="55" t="s">
        <v>1048</v>
      </c>
      <c r="B504" s="56">
        <v>1</v>
      </c>
      <c r="C504" s="56">
        <v>0</v>
      </c>
      <c r="D504" s="56">
        <v>0</v>
      </c>
      <c r="E504" s="56">
        <v>5960000</v>
      </c>
      <c r="F504" s="56">
        <v>131296.3911</v>
      </c>
      <c r="G504" s="56">
        <v>0</v>
      </c>
      <c r="H504" s="56">
        <v>5960000</v>
      </c>
      <c r="I504" s="56">
        <v>0</v>
      </c>
      <c r="J504" s="56">
        <v>1770379.86</v>
      </c>
      <c r="K504" s="56">
        <v>17</v>
      </c>
      <c r="N504" s="56">
        <v>0</v>
      </c>
      <c r="O504" s="56">
        <v>1</v>
      </c>
      <c r="P504" s="56">
        <v>1</v>
      </c>
      <c r="Q504" s="56">
        <v>1770379.86</v>
      </c>
      <c r="R504" s="56">
        <v>5960000</v>
      </c>
      <c r="S504" s="56">
        <v>17</v>
      </c>
      <c r="T504" s="56">
        <v>1770379.86</v>
      </c>
      <c r="U504" s="56">
        <v>0</v>
      </c>
      <c r="V504" s="56">
        <v>0</v>
      </c>
      <c r="W504" s="56">
        <v>88518.99000000001</v>
      </c>
      <c r="X504" s="56">
        <v>5960000</v>
      </c>
      <c r="Y504" s="55" t="s">
        <v>272</v>
      </c>
    </row>
    <row r="505" spans="1:25">
      <c r="A505" s="55" t="s">
        <v>1049</v>
      </c>
      <c r="B505" s="56">
        <v>6</v>
      </c>
      <c r="C505" s="56">
        <v>0</v>
      </c>
      <c r="D505" s="56">
        <v>0</v>
      </c>
      <c r="E505" s="56">
        <v>149000000</v>
      </c>
      <c r="F505" s="56">
        <v>47738213.67</v>
      </c>
      <c r="G505" s="56">
        <v>0</v>
      </c>
      <c r="H505" s="56">
        <v>149000000</v>
      </c>
      <c r="I505" s="56">
        <v>0</v>
      </c>
      <c r="J505" s="56">
        <v>0</v>
      </c>
      <c r="K505" s="56">
        <v>18</v>
      </c>
      <c r="L505" s="56">
        <v>0</v>
      </c>
      <c r="N505" s="56">
        <v>0</v>
      </c>
      <c r="O505" s="56">
        <v>1</v>
      </c>
      <c r="P505" s="56">
        <v>1</v>
      </c>
      <c r="Q505" s="56">
        <v>0</v>
      </c>
      <c r="R505" s="56">
        <v>2841036798</v>
      </c>
      <c r="S505" s="56">
        <v>83</v>
      </c>
      <c r="T505" s="56">
        <v>2115048716.3</v>
      </c>
      <c r="U505" s="56">
        <v>0</v>
      </c>
      <c r="V505" s="56">
        <v>0</v>
      </c>
      <c r="W505" s="56">
        <v>85505256.94</v>
      </c>
      <c r="X505" s="56">
        <v>149000000</v>
      </c>
      <c r="Y505" s="55" t="s">
        <v>272</v>
      </c>
    </row>
    <row r="506" spans="1:25">
      <c r="A506" s="55" t="s">
        <v>1050</v>
      </c>
      <c r="B506" s="56">
        <v>17</v>
      </c>
      <c r="C506" s="56">
        <v>0</v>
      </c>
      <c r="D506" s="56">
        <v>0</v>
      </c>
      <c r="E506" s="56">
        <v>73010000</v>
      </c>
      <c r="F506" s="56">
        <v>4144050.538</v>
      </c>
      <c r="G506" s="56">
        <v>0</v>
      </c>
      <c r="H506" s="56">
        <v>410494999.9999999</v>
      </c>
      <c r="I506" s="56">
        <v>0</v>
      </c>
      <c r="J506" s="56">
        <v>10563215.14</v>
      </c>
      <c r="K506" s="56">
        <v>51.73</v>
      </c>
      <c r="L506" s="56">
        <v>0</v>
      </c>
      <c r="M506" s="56">
        <v>1</v>
      </c>
      <c r="N506" s="56">
        <v>0</v>
      </c>
      <c r="O506" s="56">
        <v>1</v>
      </c>
      <c r="P506" s="56">
        <v>1</v>
      </c>
      <c r="Q506" s="56">
        <v>10563215.14</v>
      </c>
      <c r="R506" s="56">
        <v>915836380.59</v>
      </c>
      <c r="S506" s="56">
        <v>106</v>
      </c>
      <c r="T506" s="56">
        <v>378791069.84</v>
      </c>
      <c r="U506" s="56">
        <v>0</v>
      </c>
      <c r="V506" s="56">
        <v>0</v>
      </c>
      <c r="W506" s="56">
        <v>4672211.3</v>
      </c>
      <c r="X506" s="56">
        <v>410495000</v>
      </c>
      <c r="Y506" s="55" t="s">
        <v>272</v>
      </c>
    </row>
    <row r="507" spans="1:25">
      <c r="A507" s="55" t="s">
        <v>1051</v>
      </c>
      <c r="B507" s="56">
        <v>10</v>
      </c>
      <c r="C507" s="56">
        <v>0</v>
      </c>
      <c r="D507" s="56">
        <v>0</v>
      </c>
      <c r="E507" s="56">
        <v>153470000</v>
      </c>
      <c r="F507" s="56">
        <v>2809440.65</v>
      </c>
      <c r="G507" s="56">
        <v>0</v>
      </c>
      <c r="H507" s="56">
        <v>186250000</v>
      </c>
      <c r="I507" s="56">
        <v>0</v>
      </c>
      <c r="J507" s="56">
        <v>20484160.75</v>
      </c>
      <c r="K507" s="56">
        <v>121</v>
      </c>
      <c r="L507" s="56">
        <v>0</v>
      </c>
      <c r="M507" s="56">
        <v>1</v>
      </c>
      <c r="N507" s="56">
        <v>0</v>
      </c>
      <c r="O507" s="56">
        <v>1</v>
      </c>
      <c r="P507" s="56">
        <v>1</v>
      </c>
      <c r="Q507" s="56">
        <v>20484160.75</v>
      </c>
      <c r="R507" s="56">
        <v>585570000</v>
      </c>
      <c r="S507" s="56">
        <v>145</v>
      </c>
      <c r="T507" s="56">
        <v>20484160.75</v>
      </c>
      <c r="U507" s="56">
        <v>0</v>
      </c>
      <c r="V507" s="56">
        <v>0</v>
      </c>
      <c r="W507" s="56">
        <v>1024208.04</v>
      </c>
      <c r="X507" s="56">
        <v>186250000</v>
      </c>
      <c r="Y507" s="55" t="s">
        <v>272</v>
      </c>
    </row>
    <row r="508" spans="1:25">
      <c r="A508" s="55" t="s">
        <v>1052</v>
      </c>
      <c r="B508" s="56">
        <v>14</v>
      </c>
      <c r="C508" s="56">
        <v>0</v>
      </c>
      <c r="D508" s="56">
        <v>0</v>
      </c>
      <c r="E508" s="56">
        <v>11920000</v>
      </c>
      <c r="F508" s="56">
        <v>4849696.44</v>
      </c>
      <c r="G508" s="56">
        <v>0</v>
      </c>
      <c r="H508" s="56">
        <v>41720000</v>
      </c>
      <c r="I508" s="56">
        <v>1884388.261</v>
      </c>
      <c r="J508" s="56">
        <v>4636.92</v>
      </c>
      <c r="K508" s="56">
        <v>57.43</v>
      </c>
      <c r="L508" s="56">
        <v>0</v>
      </c>
      <c r="N508" s="56">
        <v>0</v>
      </c>
      <c r="O508" s="56">
        <v>1</v>
      </c>
      <c r="P508" s="56">
        <v>1</v>
      </c>
      <c r="Q508" s="56">
        <v>4636.92</v>
      </c>
      <c r="R508" s="56">
        <v>335536647.65</v>
      </c>
      <c r="S508" s="56">
        <v>99</v>
      </c>
      <c r="T508" s="56">
        <v>70860797.70999999</v>
      </c>
      <c r="U508" s="56">
        <v>0</v>
      </c>
      <c r="V508" s="56">
        <v>0</v>
      </c>
      <c r="W508" s="56">
        <v>6784556.43</v>
      </c>
      <c r="X508" s="56">
        <v>41720000</v>
      </c>
      <c r="Y508" s="55" t="s">
        <v>272</v>
      </c>
    </row>
    <row r="509" spans="1:25">
      <c r="A509" s="55" t="s">
        <v>1053</v>
      </c>
      <c r="B509" s="56">
        <v>4</v>
      </c>
      <c r="C509" s="56">
        <v>0</v>
      </c>
      <c r="D509" s="56">
        <v>0</v>
      </c>
      <c r="E509" s="56">
        <v>149000000</v>
      </c>
      <c r="F509" s="56">
        <v>2685483.225</v>
      </c>
      <c r="G509" s="56">
        <v>0</v>
      </c>
      <c r="H509" s="56">
        <v>208600000</v>
      </c>
      <c r="I509" s="56">
        <v>0</v>
      </c>
      <c r="J509" s="56">
        <v>35074723.78</v>
      </c>
      <c r="K509" s="56">
        <v>90.5</v>
      </c>
      <c r="N509" s="56">
        <v>0</v>
      </c>
      <c r="O509" s="56">
        <v>1</v>
      </c>
      <c r="P509" s="56">
        <v>1</v>
      </c>
      <c r="Q509" s="56">
        <v>35074723.78</v>
      </c>
      <c r="R509" s="56">
        <v>286530346.54</v>
      </c>
      <c r="S509" s="56">
        <v>162</v>
      </c>
      <c r="T509" s="56">
        <v>35074723.78</v>
      </c>
      <c r="U509" s="56">
        <v>0</v>
      </c>
      <c r="V509" s="56">
        <v>0</v>
      </c>
      <c r="W509" s="56">
        <v>1753736.19</v>
      </c>
      <c r="X509" s="56">
        <v>208600000</v>
      </c>
      <c r="Y509" s="55" t="s">
        <v>272</v>
      </c>
    </row>
    <row r="510" spans="1:25">
      <c r="A510" s="55" t="s">
        <v>1054</v>
      </c>
      <c r="B510" s="56">
        <v>8</v>
      </c>
      <c r="C510" s="56">
        <v>0</v>
      </c>
      <c r="D510" s="56">
        <v>0</v>
      </c>
      <c r="E510" s="56">
        <v>52150000</v>
      </c>
      <c r="F510" s="56">
        <v>894130.6048</v>
      </c>
      <c r="G510" s="56">
        <v>0</v>
      </c>
      <c r="H510" s="56">
        <v>99830000</v>
      </c>
      <c r="I510" s="56">
        <v>0</v>
      </c>
      <c r="J510" s="56">
        <v>7750170</v>
      </c>
      <c r="K510" s="56">
        <v>82</v>
      </c>
      <c r="L510" s="56">
        <v>0</v>
      </c>
      <c r="M510" s="56">
        <v>1</v>
      </c>
      <c r="N510" s="56">
        <v>0</v>
      </c>
      <c r="O510" s="56">
        <v>1</v>
      </c>
      <c r="P510" s="56">
        <v>1</v>
      </c>
      <c r="Q510" s="56">
        <v>7750170</v>
      </c>
      <c r="R510" s="56">
        <v>376898252</v>
      </c>
      <c r="S510" s="56">
        <v>102</v>
      </c>
      <c r="T510" s="56">
        <v>7750170</v>
      </c>
      <c r="U510" s="56">
        <v>0</v>
      </c>
      <c r="V510" s="56">
        <v>0</v>
      </c>
      <c r="W510" s="56">
        <v>387508.5</v>
      </c>
      <c r="X510" s="56">
        <v>99830000</v>
      </c>
      <c r="Y510" s="55" t="s">
        <v>272</v>
      </c>
    </row>
    <row r="511" spans="1:25">
      <c r="A511" s="55" t="s">
        <v>1055</v>
      </c>
      <c r="B511" s="56">
        <v>10</v>
      </c>
      <c r="C511" s="56">
        <v>2</v>
      </c>
      <c r="D511" s="56">
        <v>1</v>
      </c>
      <c r="F511" s="56">
        <v>7959588.333</v>
      </c>
      <c r="G511" s="56">
        <v>0</v>
      </c>
      <c r="H511" s="56">
        <v>0</v>
      </c>
      <c r="I511" s="56">
        <v>0</v>
      </c>
      <c r="J511" s="56">
        <v>0</v>
      </c>
      <c r="K511" s="56">
        <v>86.67</v>
      </c>
      <c r="L511" s="56">
        <v>44</v>
      </c>
      <c r="N511" s="56">
        <v>828</v>
      </c>
      <c r="O511" s="56">
        <v>5</v>
      </c>
      <c r="P511" s="56">
        <v>5</v>
      </c>
      <c r="Q511" s="56">
        <v>68169321.5</v>
      </c>
      <c r="R511" s="56">
        <v>307653227.25</v>
      </c>
      <c r="S511" s="56">
        <v>149</v>
      </c>
      <c r="T511" s="56">
        <v>320600587.06</v>
      </c>
      <c r="U511" s="56">
        <v>3</v>
      </c>
      <c r="V511" s="56">
        <v>1</v>
      </c>
      <c r="W511" s="56">
        <v>10924919.82</v>
      </c>
      <c r="X511" s="56">
        <v>0</v>
      </c>
      <c r="Y511" s="55" t="s">
        <v>546</v>
      </c>
    </row>
    <row r="512" spans="1:25">
      <c r="A512" s="55" t="s">
        <v>1056</v>
      </c>
      <c r="B512" s="56">
        <v>2</v>
      </c>
      <c r="C512" s="56">
        <v>0</v>
      </c>
      <c r="D512" s="56">
        <v>0</v>
      </c>
      <c r="F512" s="56">
        <v>1514255.981</v>
      </c>
      <c r="G512" s="56">
        <v>735000</v>
      </c>
      <c r="H512" s="56">
        <v>0</v>
      </c>
      <c r="I512" s="56">
        <v>1514255.981</v>
      </c>
      <c r="J512" s="56">
        <v>0</v>
      </c>
      <c r="K512" s="56">
        <v>2</v>
      </c>
      <c r="M512" s="56">
        <v>1</v>
      </c>
      <c r="N512" s="56">
        <v>0</v>
      </c>
      <c r="O512" s="56">
        <v>1</v>
      </c>
      <c r="P512" s="56">
        <v>1</v>
      </c>
      <c r="Q512" s="56">
        <v>735000</v>
      </c>
      <c r="R512" s="56">
        <v>2235000</v>
      </c>
      <c r="S512" s="56">
        <v>4</v>
      </c>
      <c r="T512" s="56">
        <v>735000</v>
      </c>
      <c r="U512" s="56">
        <v>0</v>
      </c>
      <c r="V512" s="56">
        <v>0</v>
      </c>
      <c r="W512" s="56">
        <v>1514255.98</v>
      </c>
      <c r="X512" s="56">
        <v>735000</v>
      </c>
      <c r="Y512" s="55" t="s">
        <v>272</v>
      </c>
    </row>
    <row r="513" spans="1:25">
      <c r="A513" s="55" t="s">
        <v>1057</v>
      </c>
      <c r="B513" s="56">
        <v>65</v>
      </c>
      <c r="C513" s="56">
        <v>0</v>
      </c>
      <c r="D513" s="56">
        <v>3</v>
      </c>
      <c r="F513" s="56">
        <v>1782151.013</v>
      </c>
      <c r="G513" s="56">
        <v>0</v>
      </c>
      <c r="H513" s="56">
        <v>0</v>
      </c>
      <c r="I513" s="56">
        <v>0</v>
      </c>
      <c r="J513" s="56">
        <v>0</v>
      </c>
      <c r="K513" s="56">
        <v>8</v>
      </c>
      <c r="L513" s="56">
        <v>424</v>
      </c>
      <c r="M513" s="56">
        <v>5</v>
      </c>
      <c r="N513" s="56">
        <v>424</v>
      </c>
      <c r="O513" s="56">
        <v>5</v>
      </c>
      <c r="P513" s="56">
        <v>5</v>
      </c>
      <c r="Q513" s="56">
        <v>6514389.36</v>
      </c>
      <c r="R513" s="56">
        <v>153346887.26</v>
      </c>
      <c r="S513" s="56">
        <v>76</v>
      </c>
      <c r="T513" s="56">
        <v>22197999.31</v>
      </c>
      <c r="U513" s="56">
        <v>1</v>
      </c>
      <c r="V513" s="56">
        <v>1</v>
      </c>
      <c r="W513" s="56">
        <v>1782151.01</v>
      </c>
      <c r="X513" s="56">
        <v>0</v>
      </c>
      <c r="Y513" s="55" t="s">
        <v>546</v>
      </c>
    </row>
    <row r="514" spans="1:25">
      <c r="A514" s="55" t="s">
        <v>1058</v>
      </c>
      <c r="B514" s="56">
        <v>40</v>
      </c>
      <c r="C514" s="56">
        <v>0</v>
      </c>
      <c r="D514" s="56">
        <v>0</v>
      </c>
      <c r="E514" s="56">
        <v>14900000</v>
      </c>
      <c r="F514" s="56">
        <v>4320881.142</v>
      </c>
      <c r="G514" s="56">
        <v>16501500</v>
      </c>
      <c r="H514" s="56">
        <v>29800000</v>
      </c>
      <c r="I514" s="56">
        <v>4384466.382999999</v>
      </c>
      <c r="J514" s="56">
        <v>7515423</v>
      </c>
      <c r="K514" s="56">
        <v>13.33</v>
      </c>
      <c r="M514" s="56">
        <v>1</v>
      </c>
      <c r="N514" s="56">
        <v>11</v>
      </c>
      <c r="O514" s="56">
        <v>2</v>
      </c>
      <c r="P514" s="56">
        <v>2</v>
      </c>
      <c r="Q514" s="56">
        <v>24016923</v>
      </c>
      <c r="R514" s="56">
        <v>234905240.74</v>
      </c>
      <c r="S514" s="56">
        <v>87</v>
      </c>
      <c r="T514" s="56">
        <v>121718699.64</v>
      </c>
      <c r="U514" s="56">
        <v>1</v>
      </c>
      <c r="V514" s="56">
        <v>0</v>
      </c>
      <c r="W514" s="56">
        <v>9081118.68</v>
      </c>
      <c r="X514" s="56">
        <v>46301500</v>
      </c>
      <c r="Y514" s="55" t="s">
        <v>272</v>
      </c>
    </row>
    <row r="515" spans="1:25">
      <c r="A515" s="55" t="s">
        <v>1059</v>
      </c>
      <c r="B515" s="56">
        <v>7</v>
      </c>
      <c r="C515" s="56">
        <v>0</v>
      </c>
      <c r="D515" s="56">
        <v>0</v>
      </c>
      <c r="E515" s="56">
        <v>387400000</v>
      </c>
      <c r="F515" s="56">
        <v>9505245.024</v>
      </c>
      <c r="G515" s="56">
        <v>0</v>
      </c>
      <c r="H515" s="56">
        <v>610900000</v>
      </c>
      <c r="I515" s="56">
        <v>0</v>
      </c>
      <c r="J515" s="56">
        <v>3058243.96</v>
      </c>
      <c r="K515" s="56">
        <v>63.67</v>
      </c>
      <c r="M515" s="56">
        <v>1</v>
      </c>
      <c r="N515" s="56">
        <v>0</v>
      </c>
      <c r="O515" s="56">
        <v>1</v>
      </c>
      <c r="P515" s="56">
        <v>1</v>
      </c>
      <c r="Q515" s="56">
        <v>3058243.96</v>
      </c>
      <c r="R515" s="56">
        <v>610900000</v>
      </c>
      <c r="S515" s="56">
        <v>135</v>
      </c>
      <c r="T515" s="56">
        <v>3058243.96</v>
      </c>
      <c r="U515" s="56">
        <v>0</v>
      </c>
      <c r="V515" s="56">
        <v>0</v>
      </c>
      <c r="W515" s="56">
        <v>152912.2</v>
      </c>
      <c r="X515" s="56">
        <v>610900000</v>
      </c>
      <c r="Y515" s="55" t="s">
        <v>272</v>
      </c>
    </row>
    <row r="516" spans="1:25">
      <c r="A516" s="55" t="s">
        <v>1060</v>
      </c>
      <c r="B516" s="56">
        <v>28</v>
      </c>
      <c r="C516" s="56">
        <v>0</v>
      </c>
      <c r="D516" s="56">
        <v>0</v>
      </c>
      <c r="E516" s="56">
        <v>29800000</v>
      </c>
      <c r="F516" s="56">
        <v>5254974.117</v>
      </c>
      <c r="G516" s="56">
        <v>1199127</v>
      </c>
      <c r="H516" s="56">
        <v>44700000</v>
      </c>
      <c r="I516" s="56">
        <v>291246.9038</v>
      </c>
      <c r="J516" s="56">
        <v>3496320</v>
      </c>
      <c r="K516" s="56">
        <v>9</v>
      </c>
      <c r="L516" s="56">
        <v>0</v>
      </c>
      <c r="M516" s="56">
        <v>1</v>
      </c>
      <c r="N516" s="56">
        <v>0</v>
      </c>
      <c r="O516" s="56">
        <v>1</v>
      </c>
      <c r="P516" s="56">
        <v>1</v>
      </c>
      <c r="Q516" s="56">
        <v>4695447</v>
      </c>
      <c r="R516" s="56">
        <v>1905249418.65</v>
      </c>
      <c r="S516" s="56">
        <v>38</v>
      </c>
      <c r="T516" s="56">
        <v>1716288326.2</v>
      </c>
      <c r="U516" s="56">
        <v>0</v>
      </c>
      <c r="V516" s="56">
        <v>0</v>
      </c>
      <c r="W516" s="56">
        <v>10489729.95</v>
      </c>
      <c r="X516" s="56">
        <v>45899127</v>
      </c>
      <c r="Y516" s="55" t="s">
        <v>272</v>
      </c>
    </row>
    <row r="517" spans="1:25">
      <c r="A517" s="55" t="s">
        <v>1061</v>
      </c>
      <c r="B517" s="56">
        <v>1</v>
      </c>
      <c r="C517" s="56">
        <v>0</v>
      </c>
      <c r="D517" s="56">
        <v>0</v>
      </c>
      <c r="F517" s="56">
        <v>2941027.779</v>
      </c>
      <c r="G517" s="56">
        <v>0</v>
      </c>
      <c r="H517" s="56">
        <v>0</v>
      </c>
      <c r="I517" s="56">
        <v>0</v>
      </c>
      <c r="J517" s="56">
        <v>0</v>
      </c>
      <c r="K517" s="56">
        <v>20</v>
      </c>
      <c r="N517" s="56">
        <v>0</v>
      </c>
      <c r="O517" s="56">
        <v>1</v>
      </c>
      <c r="P517" s="56">
        <v>1</v>
      </c>
      <c r="Q517" s="56">
        <v>0</v>
      </c>
      <c r="R517" s="56">
        <v>222979803.8</v>
      </c>
      <c r="S517" s="56">
        <v>20</v>
      </c>
      <c r="T517" s="56">
        <v>196042646.3</v>
      </c>
      <c r="U517" s="56">
        <v>0</v>
      </c>
      <c r="V517" s="56">
        <v>0</v>
      </c>
      <c r="W517" s="56">
        <v>2941027.78</v>
      </c>
      <c r="X517" s="56">
        <v>0</v>
      </c>
      <c r="Y517" s="55" t="s">
        <v>272</v>
      </c>
    </row>
    <row r="518" spans="1:25">
      <c r="A518" s="55" t="s">
        <v>1062</v>
      </c>
      <c r="B518" s="56">
        <v>14</v>
      </c>
      <c r="C518" s="56">
        <v>0</v>
      </c>
      <c r="D518" s="56">
        <v>0</v>
      </c>
      <c r="E518" s="56">
        <v>74500000</v>
      </c>
      <c r="F518" s="56">
        <v>2015475.306</v>
      </c>
      <c r="G518" s="56">
        <v>0</v>
      </c>
      <c r="H518" s="56">
        <v>134100000</v>
      </c>
      <c r="I518" s="56">
        <v>0</v>
      </c>
      <c r="J518" s="56">
        <v>88731697.59999999</v>
      </c>
      <c r="K518" s="56">
        <v>55.5</v>
      </c>
      <c r="L518" s="56">
        <v>0</v>
      </c>
      <c r="M518" s="56">
        <v>1</v>
      </c>
      <c r="N518" s="56">
        <v>0</v>
      </c>
      <c r="O518" s="56">
        <v>1</v>
      </c>
      <c r="P518" s="56">
        <v>1</v>
      </c>
      <c r="Q518" s="56">
        <v>88731697.59999999</v>
      </c>
      <c r="R518" s="56">
        <v>626032440</v>
      </c>
      <c r="S518" s="56">
        <v>136</v>
      </c>
      <c r="T518" s="56">
        <v>88731697.59999999</v>
      </c>
      <c r="U518" s="56">
        <v>0</v>
      </c>
      <c r="V518" s="56">
        <v>0</v>
      </c>
      <c r="W518" s="56">
        <v>4436584.88</v>
      </c>
      <c r="X518" s="56">
        <v>134100000</v>
      </c>
      <c r="Y518" s="55" t="s">
        <v>272</v>
      </c>
    </row>
    <row r="519" spans="1:25">
      <c r="A519" s="55" t="s">
        <v>1063</v>
      </c>
      <c r="B519" s="56">
        <v>3</v>
      </c>
      <c r="C519" s="56">
        <v>0</v>
      </c>
      <c r="D519" s="56">
        <v>0</v>
      </c>
      <c r="E519" s="56">
        <v>29800000</v>
      </c>
      <c r="F519" s="56">
        <v>731172.6941</v>
      </c>
      <c r="G519" s="56">
        <v>0</v>
      </c>
      <c r="H519" s="56">
        <v>29800000</v>
      </c>
      <c r="I519" s="56">
        <v>0</v>
      </c>
      <c r="J519" s="56">
        <v>3378871.2</v>
      </c>
      <c r="K519" s="56">
        <v>64</v>
      </c>
      <c r="M519" s="56">
        <v>1</v>
      </c>
      <c r="N519" s="56">
        <v>0</v>
      </c>
      <c r="O519" s="56">
        <v>1</v>
      </c>
      <c r="P519" s="56">
        <v>2</v>
      </c>
      <c r="Q519" s="56">
        <v>3378871.2</v>
      </c>
      <c r="R519" s="56">
        <v>44700000</v>
      </c>
      <c r="S519" s="56">
        <v>64</v>
      </c>
      <c r="T519" s="56">
        <v>3378871.2</v>
      </c>
      <c r="U519" s="56">
        <v>0</v>
      </c>
      <c r="V519" s="56">
        <v>0</v>
      </c>
      <c r="W519" s="56">
        <v>168943.56</v>
      </c>
      <c r="X519" s="56">
        <v>29800000</v>
      </c>
      <c r="Y519" s="55" t="s">
        <v>272</v>
      </c>
    </row>
    <row r="520" spans="1:25">
      <c r="A520" s="55" t="s">
        <v>1064</v>
      </c>
      <c r="B520" s="56">
        <v>4</v>
      </c>
      <c r="C520" s="56">
        <v>0</v>
      </c>
      <c r="D520" s="56">
        <v>0</v>
      </c>
      <c r="F520" s="56">
        <v>15707083.33</v>
      </c>
      <c r="G520" s="56">
        <v>761232.26</v>
      </c>
      <c r="H520" s="56">
        <v>0</v>
      </c>
      <c r="I520" s="56">
        <v>337108.3122</v>
      </c>
      <c r="J520" s="56">
        <v>0</v>
      </c>
      <c r="K520" s="56">
        <v>2.75</v>
      </c>
      <c r="L520" s="56">
        <v>0</v>
      </c>
      <c r="N520" s="56">
        <v>0</v>
      </c>
      <c r="O520" s="56">
        <v>1</v>
      </c>
      <c r="P520" s="56">
        <v>1</v>
      </c>
      <c r="Q520" s="56">
        <v>761232.26</v>
      </c>
      <c r="R520" s="56">
        <v>2043167913.17</v>
      </c>
      <c r="S520" s="56">
        <v>4</v>
      </c>
      <c r="T520" s="56">
        <v>1899037884.06</v>
      </c>
      <c r="U520" s="56">
        <v>0</v>
      </c>
      <c r="V520" s="56">
        <v>0</v>
      </c>
      <c r="W520" s="56">
        <v>31444686.27</v>
      </c>
      <c r="X520" s="56">
        <v>761232.26</v>
      </c>
      <c r="Y520" s="55" t="s">
        <v>272</v>
      </c>
    </row>
    <row r="521" spans="1:25">
      <c r="A521" s="55" t="s">
        <v>1065</v>
      </c>
      <c r="B521" s="56">
        <v>1</v>
      </c>
      <c r="C521" s="56">
        <v>0</v>
      </c>
      <c r="D521" s="56">
        <v>0</v>
      </c>
      <c r="G521" s="56">
        <v>0</v>
      </c>
      <c r="H521" s="56">
        <v>0</v>
      </c>
      <c r="I521" s="56">
        <v>0</v>
      </c>
      <c r="J521" s="56">
        <v>0</v>
      </c>
      <c r="L521" s="56">
        <v>0</v>
      </c>
      <c r="M521" s="56">
        <v>1</v>
      </c>
      <c r="O521" s="56">
        <v>1</v>
      </c>
      <c r="P521" s="56">
        <v>1</v>
      </c>
      <c r="Q521" s="56">
        <v>0</v>
      </c>
      <c r="R521" s="56">
        <v>413664.23</v>
      </c>
      <c r="S521" s="56">
        <v>9</v>
      </c>
      <c r="T521" s="56">
        <v>0</v>
      </c>
      <c r="U521" s="56">
        <v>0</v>
      </c>
      <c r="V521" s="56">
        <v>0</v>
      </c>
      <c r="W521" s="56">
        <v>0</v>
      </c>
      <c r="X521" s="56">
        <v>0</v>
      </c>
      <c r="Y521" s="55" t="s">
        <v>272</v>
      </c>
    </row>
    <row r="522" spans="1:25">
      <c r="A522" s="55" t="s">
        <v>1066</v>
      </c>
      <c r="B522" s="56">
        <v>15</v>
      </c>
      <c r="C522" s="56">
        <v>0</v>
      </c>
      <c r="D522" s="56">
        <v>0</v>
      </c>
      <c r="E522" s="56">
        <v>11920000</v>
      </c>
      <c r="F522" s="56">
        <v>7485271.733</v>
      </c>
      <c r="G522" s="56">
        <v>0</v>
      </c>
      <c r="H522" s="56">
        <v>11920000</v>
      </c>
      <c r="I522" s="56">
        <v>0</v>
      </c>
      <c r="J522" s="56">
        <v>0</v>
      </c>
      <c r="K522" s="56">
        <v>26.5</v>
      </c>
      <c r="M522" s="56">
        <v>1</v>
      </c>
      <c r="N522" s="56">
        <v>0</v>
      </c>
      <c r="O522" s="56">
        <v>1</v>
      </c>
      <c r="P522" s="56">
        <v>1</v>
      </c>
      <c r="Q522" s="56">
        <v>0</v>
      </c>
      <c r="R522" s="56">
        <v>43068290.57</v>
      </c>
      <c r="S522" s="56">
        <v>73</v>
      </c>
      <c r="T522" s="56">
        <v>25726889.11</v>
      </c>
      <c r="U522" s="56">
        <v>0</v>
      </c>
      <c r="V522" s="56">
        <v>0</v>
      </c>
      <c r="W522" s="56">
        <v>7485271.73</v>
      </c>
      <c r="X522" s="56">
        <v>11920000</v>
      </c>
      <c r="Y522" s="55" t="s">
        <v>272</v>
      </c>
    </row>
    <row r="523" spans="1:25">
      <c r="A523" s="55" t="s">
        <v>1067</v>
      </c>
      <c r="B523" s="56">
        <v>18</v>
      </c>
      <c r="C523" s="56">
        <v>0</v>
      </c>
      <c r="D523" s="56">
        <v>0</v>
      </c>
      <c r="E523" s="56">
        <v>149000000</v>
      </c>
      <c r="F523" s="56">
        <v>4069831.173</v>
      </c>
      <c r="G523" s="56">
        <v>0</v>
      </c>
      <c r="H523" s="56">
        <v>345680001.49</v>
      </c>
      <c r="I523" s="56">
        <v>0</v>
      </c>
      <c r="J523" s="56">
        <v>80107883.31</v>
      </c>
      <c r="K523" s="56">
        <v>20.6</v>
      </c>
      <c r="L523" s="56">
        <v>0</v>
      </c>
      <c r="M523" s="56">
        <v>1</v>
      </c>
      <c r="N523" s="56">
        <v>0</v>
      </c>
      <c r="O523" s="56">
        <v>1</v>
      </c>
      <c r="P523" s="56">
        <v>1</v>
      </c>
      <c r="Q523" s="56">
        <v>80107883.31</v>
      </c>
      <c r="R523" s="56">
        <v>470162349.49</v>
      </c>
      <c r="S523" s="56">
        <v>58</v>
      </c>
      <c r="T523" s="56">
        <v>80107883.31</v>
      </c>
      <c r="U523" s="56">
        <v>0</v>
      </c>
      <c r="V523" s="56">
        <v>0</v>
      </c>
      <c r="W523" s="56">
        <v>4005394.17</v>
      </c>
      <c r="X523" s="56">
        <v>345680001.49</v>
      </c>
      <c r="Y523" s="55" t="s">
        <v>272</v>
      </c>
    </row>
    <row r="524" spans="1:25">
      <c r="A524" s="55" t="s">
        <v>1068</v>
      </c>
      <c r="B524" s="56">
        <v>7</v>
      </c>
      <c r="C524" s="56">
        <v>0</v>
      </c>
      <c r="D524" s="56">
        <v>0</v>
      </c>
      <c r="E524" s="56">
        <v>432100000</v>
      </c>
      <c r="F524" s="56">
        <v>7910075.616</v>
      </c>
      <c r="G524" s="56">
        <v>0</v>
      </c>
      <c r="H524" s="56">
        <v>432100000</v>
      </c>
      <c r="I524" s="56">
        <v>0</v>
      </c>
      <c r="J524" s="56">
        <v>321133763.8</v>
      </c>
      <c r="K524" s="56">
        <v>141</v>
      </c>
      <c r="M524" s="56">
        <v>1</v>
      </c>
      <c r="N524" s="56">
        <v>0</v>
      </c>
      <c r="O524" s="56">
        <v>1</v>
      </c>
      <c r="P524" s="56">
        <v>1</v>
      </c>
      <c r="Q524" s="56">
        <v>321133763.8</v>
      </c>
      <c r="R524" s="56">
        <v>1407091922.6</v>
      </c>
      <c r="S524" s="56">
        <v>153</v>
      </c>
      <c r="T524" s="56">
        <v>321133763.8</v>
      </c>
      <c r="U524" s="56">
        <v>0</v>
      </c>
      <c r="V524" s="56">
        <v>0</v>
      </c>
      <c r="W524" s="56">
        <v>16056688.19</v>
      </c>
      <c r="X524" s="56">
        <v>432100000</v>
      </c>
      <c r="Y524" s="55" t="s">
        <v>272</v>
      </c>
    </row>
    <row r="525" spans="1:25">
      <c r="A525" s="55" t="s">
        <v>1069</v>
      </c>
      <c r="B525" s="56">
        <v>16</v>
      </c>
      <c r="C525" s="56">
        <v>0</v>
      </c>
      <c r="D525" s="56">
        <v>0</v>
      </c>
      <c r="E525" s="56">
        <v>74500000</v>
      </c>
      <c r="F525" s="56">
        <v>7413804.92</v>
      </c>
      <c r="G525" s="56">
        <v>0</v>
      </c>
      <c r="H525" s="56">
        <v>224990000</v>
      </c>
      <c r="I525" s="56">
        <v>0</v>
      </c>
      <c r="J525" s="56">
        <v>8669751.879999999</v>
      </c>
      <c r="K525" s="56">
        <v>89</v>
      </c>
      <c r="L525" s="56">
        <v>0</v>
      </c>
      <c r="M525" s="56">
        <v>1</v>
      </c>
      <c r="N525" s="56">
        <v>0</v>
      </c>
      <c r="O525" s="56">
        <v>1</v>
      </c>
      <c r="P525" s="56">
        <v>1</v>
      </c>
      <c r="Q525" s="56">
        <v>8669751.879999999</v>
      </c>
      <c r="R525" s="56">
        <v>864692407.8</v>
      </c>
      <c r="S525" s="56">
        <v>180</v>
      </c>
      <c r="T525" s="56">
        <v>140849450.08</v>
      </c>
      <c r="U525" s="56">
        <v>0</v>
      </c>
      <c r="V525" s="56">
        <v>0</v>
      </c>
      <c r="W525" s="56">
        <v>7847292.51</v>
      </c>
      <c r="X525" s="56">
        <v>224990000</v>
      </c>
      <c r="Y525" s="55" t="s">
        <v>272</v>
      </c>
    </row>
    <row r="526" spans="1:25">
      <c r="A526" s="55" t="s">
        <v>1070</v>
      </c>
      <c r="B526" s="56">
        <v>148</v>
      </c>
      <c r="C526" s="56">
        <v>0</v>
      </c>
      <c r="D526" s="56">
        <v>0</v>
      </c>
      <c r="E526" s="56">
        <v>14900000</v>
      </c>
      <c r="F526" s="56">
        <v>1693348.689</v>
      </c>
      <c r="G526" s="56">
        <v>3570653.52</v>
      </c>
      <c r="H526" s="56">
        <v>14900000</v>
      </c>
      <c r="I526" s="56">
        <v>2152859.9204</v>
      </c>
      <c r="J526" s="56">
        <v>11494696.47</v>
      </c>
      <c r="K526" s="56">
        <v>23.67</v>
      </c>
      <c r="L526" s="56">
        <v>0</v>
      </c>
      <c r="M526" s="56">
        <v>1</v>
      </c>
      <c r="N526" s="56">
        <v>0</v>
      </c>
      <c r="O526" s="56">
        <v>1</v>
      </c>
      <c r="P526" s="56">
        <v>1</v>
      </c>
      <c r="Q526" s="56">
        <v>17299266.75</v>
      </c>
      <c r="R526" s="56">
        <v>89997267.99000002</v>
      </c>
      <c r="S526" s="56">
        <v>121</v>
      </c>
      <c r="T526" s="56">
        <v>17299266.75</v>
      </c>
      <c r="U526" s="56">
        <v>0</v>
      </c>
      <c r="V526" s="56">
        <v>0</v>
      </c>
      <c r="W526" s="56">
        <v>2831911.77</v>
      </c>
      <c r="X526" s="56">
        <v>18470653.52</v>
      </c>
      <c r="Y526" s="55" t="s">
        <v>272</v>
      </c>
    </row>
    <row r="527" spans="1:25">
      <c r="A527" s="55" t="s">
        <v>1071</v>
      </c>
      <c r="B527" s="56">
        <v>14</v>
      </c>
      <c r="C527" s="56">
        <v>0</v>
      </c>
      <c r="D527" s="56">
        <v>0</v>
      </c>
      <c r="E527" s="56">
        <v>149000000</v>
      </c>
      <c r="F527" s="56">
        <v>52728023.78</v>
      </c>
      <c r="G527" s="56">
        <v>0</v>
      </c>
      <c r="H527" s="56">
        <v>405280000</v>
      </c>
      <c r="I527" s="56">
        <v>0</v>
      </c>
      <c r="J527" s="56">
        <v>47994852.83</v>
      </c>
      <c r="K527" s="56">
        <v>80.86</v>
      </c>
      <c r="L527" s="56">
        <v>0</v>
      </c>
      <c r="M527" s="56">
        <v>1</v>
      </c>
      <c r="N527" s="56">
        <v>0</v>
      </c>
      <c r="O527" s="56">
        <v>1</v>
      </c>
      <c r="P527" s="56">
        <v>1</v>
      </c>
      <c r="Q527" s="56">
        <v>47994852.83</v>
      </c>
      <c r="R527" s="56">
        <v>3287559531.72</v>
      </c>
      <c r="S527" s="56">
        <v>135</v>
      </c>
      <c r="T527" s="56">
        <v>2479281881.83</v>
      </c>
      <c r="U527" s="56">
        <v>0</v>
      </c>
      <c r="V527" s="56">
        <v>0</v>
      </c>
      <c r="W527" s="56">
        <v>55127766.42</v>
      </c>
      <c r="X527" s="56">
        <v>405280000</v>
      </c>
      <c r="Y527" s="55" t="s">
        <v>272</v>
      </c>
    </row>
    <row r="528" spans="1:25">
      <c r="A528" s="55" t="s">
        <v>1072</v>
      </c>
      <c r="B528" s="56">
        <v>7</v>
      </c>
      <c r="C528" s="56">
        <v>0</v>
      </c>
      <c r="D528" s="56">
        <v>0</v>
      </c>
      <c r="E528" s="56">
        <v>47680000</v>
      </c>
      <c r="F528" s="56">
        <v>935993.8725000001</v>
      </c>
      <c r="G528" s="56">
        <v>0</v>
      </c>
      <c r="H528" s="56">
        <v>59600000</v>
      </c>
      <c r="I528" s="56">
        <v>0</v>
      </c>
      <c r="J528" s="56">
        <v>2435441.84</v>
      </c>
      <c r="K528" s="56">
        <v>53.33</v>
      </c>
      <c r="M528" s="56">
        <v>1</v>
      </c>
      <c r="N528" s="56">
        <v>0</v>
      </c>
      <c r="O528" s="56">
        <v>1</v>
      </c>
      <c r="P528" s="56">
        <v>1</v>
      </c>
      <c r="Q528" s="56">
        <v>2435441.84</v>
      </c>
      <c r="R528" s="56">
        <v>71520000</v>
      </c>
      <c r="S528" s="56">
        <v>91</v>
      </c>
      <c r="T528" s="56">
        <v>2435441.84</v>
      </c>
      <c r="U528" s="56">
        <v>0</v>
      </c>
      <c r="V528" s="56">
        <v>0</v>
      </c>
      <c r="W528" s="56">
        <v>121772.09</v>
      </c>
      <c r="X528" s="56">
        <v>59600000</v>
      </c>
      <c r="Y528" s="55" t="s">
        <v>272</v>
      </c>
    </row>
    <row r="529" spans="1:25">
      <c r="A529" s="55" t="s">
        <v>1073</v>
      </c>
      <c r="B529" s="56">
        <v>2</v>
      </c>
      <c r="C529" s="56">
        <v>0</v>
      </c>
      <c r="D529" s="56">
        <v>0</v>
      </c>
      <c r="E529" s="56">
        <v>14900000</v>
      </c>
      <c r="F529" s="56">
        <v>83219.6508</v>
      </c>
      <c r="G529" s="56">
        <v>0</v>
      </c>
      <c r="H529" s="56">
        <v>14900000</v>
      </c>
      <c r="I529" s="56">
        <v>0</v>
      </c>
      <c r="J529" s="56">
        <v>6783158.73</v>
      </c>
      <c r="K529" s="56">
        <v>51</v>
      </c>
      <c r="L529" s="56">
        <v>0</v>
      </c>
      <c r="M529" s="56">
        <v>1</v>
      </c>
      <c r="N529" s="56">
        <v>0</v>
      </c>
      <c r="O529" s="56">
        <v>1</v>
      </c>
      <c r="P529" s="56">
        <v>1</v>
      </c>
      <c r="Q529" s="56">
        <v>6783158.73</v>
      </c>
      <c r="R529" s="56">
        <v>16323446.17</v>
      </c>
      <c r="S529" s="56">
        <v>51</v>
      </c>
      <c r="T529" s="56">
        <v>6783158.73</v>
      </c>
      <c r="U529" s="56">
        <v>0</v>
      </c>
      <c r="V529" s="56">
        <v>0</v>
      </c>
      <c r="W529" s="56">
        <v>339157.94</v>
      </c>
      <c r="X529" s="56">
        <v>14900000</v>
      </c>
      <c r="Y529" s="55" t="s">
        <v>272</v>
      </c>
    </row>
    <row r="530" spans="1:25">
      <c r="A530" s="55" t="s">
        <v>1074</v>
      </c>
      <c r="B530" s="56">
        <v>8</v>
      </c>
      <c r="C530" s="56">
        <v>0</v>
      </c>
      <c r="D530" s="56">
        <v>1</v>
      </c>
      <c r="F530" s="56">
        <v>16219366.13</v>
      </c>
      <c r="G530" s="56">
        <v>0</v>
      </c>
      <c r="H530" s="56">
        <v>0</v>
      </c>
      <c r="I530" s="56">
        <v>0</v>
      </c>
      <c r="J530" s="56">
        <v>0</v>
      </c>
      <c r="K530" s="56">
        <v>38.25</v>
      </c>
      <c r="L530" s="56">
        <v>0</v>
      </c>
      <c r="M530" s="56">
        <v>1</v>
      </c>
      <c r="N530" s="56">
        <v>367</v>
      </c>
      <c r="O530" s="56">
        <v>5</v>
      </c>
      <c r="P530" s="56">
        <v>5</v>
      </c>
      <c r="Q530" s="56">
        <v>0</v>
      </c>
      <c r="R530" s="56">
        <v>1145759718.53</v>
      </c>
      <c r="S530" s="56">
        <v>108</v>
      </c>
      <c r="T530" s="56">
        <v>575274914.4300001</v>
      </c>
      <c r="U530" s="56">
        <v>0</v>
      </c>
      <c r="V530" s="56">
        <v>0</v>
      </c>
      <c r="W530" s="56">
        <v>28951180.54</v>
      </c>
      <c r="X530" s="56">
        <v>0</v>
      </c>
      <c r="Y530" s="55" t="s">
        <v>546</v>
      </c>
    </row>
    <row r="531" spans="1:25">
      <c r="A531" s="55" t="s">
        <v>1075</v>
      </c>
      <c r="B531" s="56">
        <v>7</v>
      </c>
      <c r="C531" s="56">
        <v>0</v>
      </c>
      <c r="D531" s="56">
        <v>0</v>
      </c>
      <c r="E531" s="56">
        <v>143040000</v>
      </c>
      <c r="F531" s="56">
        <v>18226006.09</v>
      </c>
      <c r="G531" s="56">
        <v>0</v>
      </c>
      <c r="H531" s="56">
        <v>289060000</v>
      </c>
      <c r="I531" s="56">
        <v>0</v>
      </c>
      <c r="J531" s="56">
        <v>3516338.43</v>
      </c>
      <c r="K531" s="56">
        <v>51.14</v>
      </c>
      <c r="L531" s="56">
        <v>0</v>
      </c>
      <c r="N531" s="56">
        <v>0</v>
      </c>
      <c r="O531" s="56">
        <v>1</v>
      </c>
      <c r="P531" s="56">
        <v>1</v>
      </c>
      <c r="Q531" s="56">
        <v>3516338.43</v>
      </c>
      <c r="R531" s="56">
        <v>1435179460.59</v>
      </c>
      <c r="S531" s="56">
        <v>120</v>
      </c>
      <c r="T531" s="56">
        <v>871740669.11</v>
      </c>
      <c r="U531" s="56">
        <v>0</v>
      </c>
      <c r="V531" s="56">
        <v>0</v>
      </c>
      <c r="W531" s="56">
        <v>23064033.01</v>
      </c>
      <c r="X531" s="56">
        <v>289060000</v>
      </c>
      <c r="Y531" s="55" t="s">
        <v>272</v>
      </c>
    </row>
    <row r="532" spans="1:25">
      <c r="A532" s="55" t="s">
        <v>1076</v>
      </c>
      <c r="B532" s="56">
        <v>78</v>
      </c>
      <c r="C532" s="56">
        <v>1</v>
      </c>
      <c r="D532" s="56">
        <v>3</v>
      </c>
      <c r="F532" s="56">
        <v>2007946.215</v>
      </c>
      <c r="G532" s="56">
        <v>0</v>
      </c>
      <c r="H532" s="56">
        <v>0</v>
      </c>
      <c r="I532" s="56">
        <v>35002.98118</v>
      </c>
      <c r="J532" s="56">
        <v>0</v>
      </c>
      <c r="K532" s="56">
        <v>45.67</v>
      </c>
      <c r="L532" s="56">
        <v>1121</v>
      </c>
      <c r="M532" s="56">
        <v>5</v>
      </c>
      <c r="N532" s="56">
        <v>1121</v>
      </c>
      <c r="O532" s="56">
        <v>5</v>
      </c>
      <c r="P532" s="56">
        <v>5</v>
      </c>
      <c r="Q532" s="56">
        <v>14746469.39</v>
      </c>
      <c r="R532" s="56">
        <v>271543583.84</v>
      </c>
      <c r="S532" s="56">
        <v>102</v>
      </c>
      <c r="T532" s="56">
        <v>160878305.59</v>
      </c>
      <c r="U532" s="56">
        <v>1</v>
      </c>
      <c r="V532" s="56">
        <v>0</v>
      </c>
      <c r="W532" s="56">
        <v>3293936.29</v>
      </c>
      <c r="X532" s="56">
        <v>0</v>
      </c>
      <c r="Y532" s="55" t="s">
        <v>546</v>
      </c>
    </row>
    <row r="533" spans="1:25">
      <c r="A533" s="55" t="s">
        <v>1077</v>
      </c>
      <c r="B533" s="56">
        <v>17</v>
      </c>
      <c r="C533" s="56">
        <v>0</v>
      </c>
      <c r="D533" s="56">
        <v>0</v>
      </c>
      <c r="E533" s="56">
        <v>19966000</v>
      </c>
      <c r="F533" s="56">
        <v>292320.7923</v>
      </c>
      <c r="G533" s="56">
        <v>0</v>
      </c>
      <c r="H533" s="56">
        <v>54832000</v>
      </c>
      <c r="I533" s="56">
        <v>0</v>
      </c>
      <c r="J533" s="56">
        <v>9281482.85</v>
      </c>
      <c r="K533" s="56">
        <v>5.67</v>
      </c>
      <c r="M533" s="56">
        <v>1</v>
      </c>
      <c r="N533" s="56">
        <v>0</v>
      </c>
      <c r="O533" s="56">
        <v>1</v>
      </c>
      <c r="P533" s="56">
        <v>1</v>
      </c>
      <c r="Q533" s="56">
        <v>9281482.85</v>
      </c>
      <c r="R533" s="56">
        <v>54832000</v>
      </c>
      <c r="S533" s="56">
        <v>38</v>
      </c>
      <c r="T533" s="56">
        <v>9281482.85</v>
      </c>
      <c r="U533" s="56">
        <v>0</v>
      </c>
      <c r="V533" s="56">
        <v>0</v>
      </c>
      <c r="W533" s="56">
        <v>464074.14</v>
      </c>
      <c r="X533" s="56">
        <v>54832000</v>
      </c>
      <c r="Y533" s="55" t="s">
        <v>272</v>
      </c>
    </row>
    <row r="534" spans="1:25">
      <c r="A534" s="55" t="s">
        <v>1078</v>
      </c>
      <c r="B534" s="56">
        <v>1</v>
      </c>
      <c r="C534" s="56">
        <v>0</v>
      </c>
      <c r="D534" s="56">
        <v>0</v>
      </c>
      <c r="E534" s="56">
        <v>29800000</v>
      </c>
      <c r="F534" s="56">
        <v>336143.2566</v>
      </c>
      <c r="G534" s="56">
        <v>0</v>
      </c>
      <c r="H534" s="56">
        <v>29800000</v>
      </c>
      <c r="I534" s="56">
        <v>0</v>
      </c>
      <c r="J534" s="56">
        <v>957449.02</v>
      </c>
      <c r="K534" s="56">
        <v>62</v>
      </c>
      <c r="N534" s="56">
        <v>0</v>
      </c>
      <c r="O534" s="56">
        <v>1</v>
      </c>
      <c r="P534" s="56">
        <v>1</v>
      </c>
      <c r="Q534" s="56">
        <v>957449.02</v>
      </c>
      <c r="R534" s="56">
        <v>29800000</v>
      </c>
      <c r="S534" s="56">
        <v>62</v>
      </c>
      <c r="T534" s="56">
        <v>957449.02</v>
      </c>
      <c r="U534" s="56">
        <v>0</v>
      </c>
      <c r="V534" s="56">
        <v>0</v>
      </c>
      <c r="W534" s="56">
        <v>47872.45</v>
      </c>
      <c r="X534" s="56">
        <v>29800000</v>
      </c>
      <c r="Y534" s="55" t="s">
        <v>272</v>
      </c>
    </row>
    <row r="535" spans="1:25">
      <c r="A535" s="55" t="s">
        <v>1079</v>
      </c>
      <c r="B535" s="56">
        <v>2</v>
      </c>
      <c r="C535" s="56">
        <v>0</v>
      </c>
      <c r="D535" s="56">
        <v>0</v>
      </c>
      <c r="E535" s="56">
        <v>29800000</v>
      </c>
      <c r="F535" s="56">
        <v>656481.9556</v>
      </c>
      <c r="G535" s="56">
        <v>0</v>
      </c>
      <c r="H535" s="56">
        <v>29800000</v>
      </c>
      <c r="I535" s="56">
        <v>0</v>
      </c>
      <c r="J535" s="56">
        <v>4742640.35</v>
      </c>
      <c r="K535" s="56">
        <v>6</v>
      </c>
      <c r="N535" s="56">
        <v>0</v>
      </c>
      <c r="O535" s="56">
        <v>1</v>
      </c>
      <c r="P535" s="56">
        <v>1</v>
      </c>
      <c r="Q535" s="56">
        <v>4742640.35</v>
      </c>
      <c r="R535" s="56">
        <v>43210000</v>
      </c>
      <c r="S535" s="56">
        <v>59</v>
      </c>
      <c r="T535" s="56">
        <v>4742640.35</v>
      </c>
      <c r="U535" s="56">
        <v>0</v>
      </c>
      <c r="V535" s="56">
        <v>0</v>
      </c>
      <c r="W535" s="56">
        <v>237132.02</v>
      </c>
      <c r="X535" s="56">
        <v>29800000</v>
      </c>
      <c r="Y535" s="55" t="s">
        <v>272</v>
      </c>
    </row>
    <row r="536" spans="1:25">
      <c r="A536" s="55" t="s">
        <v>1080</v>
      </c>
      <c r="B536" s="56">
        <v>38</v>
      </c>
      <c r="C536" s="56">
        <v>0</v>
      </c>
      <c r="D536" s="56">
        <v>0</v>
      </c>
      <c r="F536" s="56">
        <v>1473119.346</v>
      </c>
      <c r="G536" s="56">
        <v>3623079.53</v>
      </c>
      <c r="H536" s="56">
        <v>0</v>
      </c>
      <c r="I536" s="56">
        <v>2928957.17221</v>
      </c>
      <c r="J536" s="56">
        <v>0</v>
      </c>
      <c r="K536" s="56">
        <v>3.67</v>
      </c>
      <c r="L536" s="56">
        <v>0</v>
      </c>
      <c r="M536" s="56">
        <v>1</v>
      </c>
      <c r="N536" s="56">
        <v>0</v>
      </c>
      <c r="O536" s="56">
        <v>1</v>
      </c>
      <c r="P536" s="56">
        <v>1</v>
      </c>
      <c r="Q536" s="56">
        <v>3623079.53</v>
      </c>
      <c r="R536" s="56">
        <v>44604392.66</v>
      </c>
      <c r="S536" s="56">
        <v>32</v>
      </c>
      <c r="T536" s="56">
        <v>3623079.53</v>
      </c>
      <c r="U536" s="56">
        <v>0</v>
      </c>
      <c r="V536" s="56">
        <v>0</v>
      </c>
      <c r="W536" s="56">
        <v>2928957.17</v>
      </c>
      <c r="X536" s="56">
        <v>3623079.53</v>
      </c>
      <c r="Y536" s="55" t="s">
        <v>272</v>
      </c>
    </row>
    <row r="537" spans="1:25">
      <c r="A537" s="55" t="s">
        <v>1081</v>
      </c>
      <c r="B537" s="56">
        <v>17</v>
      </c>
      <c r="C537" s="56">
        <v>0</v>
      </c>
      <c r="D537" s="56">
        <v>0</v>
      </c>
      <c r="E537" s="56">
        <v>7450000</v>
      </c>
      <c r="F537" s="56">
        <v>7853781.665</v>
      </c>
      <c r="G537" s="56">
        <v>282661.72</v>
      </c>
      <c r="H537" s="56">
        <v>14900000</v>
      </c>
      <c r="I537" s="56">
        <v>1471860.62634</v>
      </c>
      <c r="J537" s="56">
        <v>0</v>
      </c>
      <c r="K537" s="56">
        <v>22.25</v>
      </c>
      <c r="L537" s="56">
        <v>0</v>
      </c>
      <c r="M537" s="56">
        <v>1</v>
      </c>
      <c r="N537" s="56">
        <v>0</v>
      </c>
      <c r="O537" s="56">
        <v>1</v>
      </c>
      <c r="P537" s="56">
        <v>1</v>
      </c>
      <c r="Q537" s="56">
        <v>282661.72</v>
      </c>
      <c r="R537" s="56">
        <v>319027973.66</v>
      </c>
      <c r="S537" s="56">
        <v>62</v>
      </c>
      <c r="T537" s="56">
        <v>239887668.82</v>
      </c>
      <c r="U537" s="56">
        <v>0</v>
      </c>
      <c r="V537" s="56">
        <v>0</v>
      </c>
      <c r="W537" s="56">
        <v>9325642.289999999</v>
      </c>
      <c r="X537" s="56">
        <v>15182661.72</v>
      </c>
      <c r="Y537" s="55" t="s">
        <v>272</v>
      </c>
    </row>
    <row r="538" spans="1:25">
      <c r="A538" s="55" t="s">
        <v>1082</v>
      </c>
      <c r="B538" s="56">
        <v>1</v>
      </c>
      <c r="C538" s="56">
        <v>0</v>
      </c>
      <c r="D538" s="56">
        <v>0</v>
      </c>
      <c r="F538" s="56">
        <v>10475239.95</v>
      </c>
      <c r="G538" s="56">
        <v>0</v>
      </c>
      <c r="H538" s="56">
        <v>0</v>
      </c>
      <c r="I538" s="56">
        <v>0</v>
      </c>
      <c r="J538" s="56">
        <v>0</v>
      </c>
      <c r="K538" s="56">
        <v>54</v>
      </c>
      <c r="N538" s="56">
        <v>0</v>
      </c>
      <c r="O538" s="56">
        <v>1</v>
      </c>
      <c r="P538" s="56">
        <v>1</v>
      </c>
      <c r="Q538" s="56">
        <v>0</v>
      </c>
      <c r="R538" s="56">
        <v>264555866.8</v>
      </c>
      <c r="S538" s="56">
        <v>54</v>
      </c>
      <c r="T538" s="56">
        <v>200636328.5</v>
      </c>
      <c r="U538" s="56">
        <v>0</v>
      </c>
      <c r="V538" s="56">
        <v>0</v>
      </c>
      <c r="W538" s="56">
        <v>10475239.95</v>
      </c>
      <c r="X538" s="56">
        <v>0</v>
      </c>
      <c r="Y538" s="55" t="s">
        <v>272</v>
      </c>
    </row>
    <row r="539" spans="1:25">
      <c r="A539" s="55" t="s">
        <v>1083</v>
      </c>
      <c r="B539" s="56">
        <v>1</v>
      </c>
      <c r="C539" s="56">
        <v>0</v>
      </c>
      <c r="D539" s="56">
        <v>0</v>
      </c>
      <c r="F539" s="56">
        <v>8641762.284</v>
      </c>
      <c r="G539" s="56">
        <v>0</v>
      </c>
      <c r="H539" s="56">
        <v>0</v>
      </c>
      <c r="I539" s="56">
        <v>0</v>
      </c>
      <c r="J539" s="56">
        <v>0</v>
      </c>
      <c r="K539" s="56">
        <v>7</v>
      </c>
      <c r="N539" s="56">
        <v>0</v>
      </c>
      <c r="O539" s="56">
        <v>1</v>
      </c>
      <c r="P539" s="56">
        <v>1</v>
      </c>
      <c r="Q539" s="56">
        <v>0</v>
      </c>
      <c r="R539" s="56">
        <v>408075707.9</v>
      </c>
      <c r="S539" s="56">
        <v>7</v>
      </c>
      <c r="T539" s="56">
        <v>380688076.5</v>
      </c>
      <c r="U539" s="56">
        <v>0</v>
      </c>
      <c r="V539" s="56">
        <v>0</v>
      </c>
      <c r="W539" s="56">
        <v>8641762.279999999</v>
      </c>
      <c r="X539" s="56">
        <v>0</v>
      </c>
      <c r="Y539" s="55" t="s">
        <v>272</v>
      </c>
    </row>
    <row r="540" spans="1:25">
      <c r="A540" s="55" t="s">
        <v>1084</v>
      </c>
      <c r="B540" s="56">
        <v>11</v>
      </c>
      <c r="C540" s="56">
        <v>0</v>
      </c>
      <c r="D540" s="56">
        <v>0</v>
      </c>
      <c r="F540" s="56">
        <v>521511.4524</v>
      </c>
      <c r="G540" s="56">
        <v>0</v>
      </c>
      <c r="H540" s="56">
        <v>0</v>
      </c>
      <c r="I540" s="56">
        <v>0</v>
      </c>
      <c r="J540" s="56">
        <v>0</v>
      </c>
      <c r="K540" s="56">
        <v>49</v>
      </c>
      <c r="L540" s="56">
        <v>1154</v>
      </c>
      <c r="N540" s="56">
        <v>1154</v>
      </c>
      <c r="O540" s="56">
        <v>5</v>
      </c>
      <c r="P540" s="56">
        <v>5</v>
      </c>
      <c r="Q540" s="56">
        <v>0</v>
      </c>
      <c r="R540" s="56">
        <v>3215420</v>
      </c>
      <c r="S540" s="56">
        <v>63</v>
      </c>
      <c r="T540" s="56">
        <v>2912404.66</v>
      </c>
      <c r="U540" s="56">
        <v>1</v>
      </c>
      <c r="V540" s="56">
        <v>0</v>
      </c>
      <c r="W540" s="56">
        <v>521511.45</v>
      </c>
      <c r="X540" s="56">
        <v>0</v>
      </c>
      <c r="Y540" s="55" t="s">
        <v>272</v>
      </c>
    </row>
    <row r="541" spans="1:25">
      <c r="A541" s="55" t="s">
        <v>1085</v>
      </c>
      <c r="B541" s="56">
        <v>3</v>
      </c>
      <c r="C541" s="56">
        <v>0</v>
      </c>
      <c r="D541" s="56">
        <v>0</v>
      </c>
      <c r="E541" s="56">
        <v>22350000</v>
      </c>
      <c r="F541" s="56">
        <v>482451.287</v>
      </c>
      <c r="G541" s="56">
        <v>0</v>
      </c>
      <c r="H541" s="56">
        <v>22350000</v>
      </c>
      <c r="I541" s="56">
        <v>0</v>
      </c>
      <c r="J541" s="56">
        <v>0</v>
      </c>
      <c r="K541" s="56">
        <v>162</v>
      </c>
      <c r="N541" s="56">
        <v>0</v>
      </c>
      <c r="O541" s="56">
        <v>2</v>
      </c>
      <c r="P541" s="56">
        <v>2</v>
      </c>
      <c r="Q541" s="56">
        <v>0</v>
      </c>
      <c r="R541" s="56">
        <v>137080000</v>
      </c>
      <c r="S541" s="56">
        <v>162</v>
      </c>
      <c r="T541" s="56">
        <v>0</v>
      </c>
      <c r="U541" s="56">
        <v>0</v>
      </c>
      <c r="V541" s="56">
        <v>0</v>
      </c>
      <c r="W541" s="56">
        <v>0</v>
      </c>
      <c r="X541" s="56">
        <v>22350000</v>
      </c>
      <c r="Y541" s="55" t="s">
        <v>272</v>
      </c>
    </row>
    <row r="542" spans="1:25">
      <c r="A542" s="55" t="s">
        <v>1086</v>
      </c>
      <c r="B542" s="56">
        <v>2</v>
      </c>
      <c r="C542" s="56">
        <v>0</v>
      </c>
      <c r="D542" s="56">
        <v>0</v>
      </c>
      <c r="E542" s="56">
        <v>46935000</v>
      </c>
      <c r="F542" s="56">
        <v>1151596.993</v>
      </c>
      <c r="G542" s="56">
        <v>0</v>
      </c>
      <c r="H542" s="56">
        <v>46935000</v>
      </c>
      <c r="I542" s="56">
        <v>0</v>
      </c>
      <c r="J542" s="56">
        <v>43727372.64</v>
      </c>
      <c r="K542" s="56">
        <v>65</v>
      </c>
      <c r="N542" s="56">
        <v>0</v>
      </c>
      <c r="O542" s="56">
        <v>1</v>
      </c>
      <c r="P542" s="56">
        <v>1</v>
      </c>
      <c r="Q542" s="56">
        <v>43727372.64</v>
      </c>
      <c r="R542" s="56">
        <v>93870000</v>
      </c>
      <c r="S542" s="56">
        <v>126</v>
      </c>
      <c r="T542" s="56">
        <v>43727372.64</v>
      </c>
      <c r="U542" s="56">
        <v>0</v>
      </c>
      <c r="V542" s="56">
        <v>0</v>
      </c>
      <c r="W542" s="56">
        <v>2186368.63</v>
      </c>
      <c r="X542" s="56">
        <v>46935000</v>
      </c>
      <c r="Y542" s="55" t="s">
        <v>272</v>
      </c>
    </row>
    <row r="543" spans="1:25">
      <c r="A543" s="55" t="s">
        <v>1087</v>
      </c>
      <c r="B543" s="56">
        <v>2</v>
      </c>
      <c r="C543" s="56">
        <v>0</v>
      </c>
      <c r="D543" s="56">
        <v>0</v>
      </c>
      <c r="E543" s="56">
        <v>335250000</v>
      </c>
      <c r="F543" s="56">
        <v>3246585.543</v>
      </c>
      <c r="G543" s="56">
        <v>0</v>
      </c>
      <c r="H543" s="56">
        <v>409750000</v>
      </c>
      <c r="I543" s="56">
        <v>0</v>
      </c>
      <c r="J543" s="56">
        <v>29454177.86</v>
      </c>
      <c r="K543" s="56">
        <v>107.5</v>
      </c>
      <c r="N543" s="56">
        <v>0</v>
      </c>
      <c r="O543" s="56">
        <v>1</v>
      </c>
      <c r="P543" s="56">
        <v>1</v>
      </c>
      <c r="Q543" s="56">
        <v>29454177.86</v>
      </c>
      <c r="R543" s="56">
        <v>409750000</v>
      </c>
      <c r="S543" s="56">
        <v>206</v>
      </c>
      <c r="T543" s="56">
        <v>29454177.86</v>
      </c>
      <c r="U543" s="56">
        <v>0</v>
      </c>
      <c r="V543" s="56">
        <v>0</v>
      </c>
      <c r="W543" s="56">
        <v>1472708.89</v>
      </c>
      <c r="X543" s="56">
        <v>409750000</v>
      </c>
      <c r="Y543" s="55" t="s">
        <v>272</v>
      </c>
    </row>
    <row r="544" spans="1:25">
      <c r="A544" s="55" t="s">
        <v>1088</v>
      </c>
      <c r="B544" s="56">
        <v>37</v>
      </c>
      <c r="C544" s="56">
        <v>0</v>
      </c>
      <c r="D544" s="56">
        <v>0</v>
      </c>
      <c r="E544" s="56">
        <v>14900000</v>
      </c>
      <c r="F544" s="56">
        <v>403095.0611</v>
      </c>
      <c r="G544" s="56">
        <v>0</v>
      </c>
      <c r="H544" s="56">
        <v>14900000</v>
      </c>
      <c r="I544" s="56">
        <v>0</v>
      </c>
      <c r="J544" s="56">
        <v>53600</v>
      </c>
      <c r="K544" s="56">
        <v>19</v>
      </c>
      <c r="M544" s="56">
        <v>1</v>
      </c>
      <c r="N544" s="56">
        <v>0</v>
      </c>
      <c r="O544" s="56">
        <v>1</v>
      </c>
      <c r="P544" s="56">
        <v>1</v>
      </c>
      <c r="Q544" s="56">
        <v>53600</v>
      </c>
      <c r="R544" s="56">
        <v>15187570</v>
      </c>
      <c r="S544" s="56">
        <v>43</v>
      </c>
      <c r="T544" s="56">
        <v>53600</v>
      </c>
      <c r="U544" s="56">
        <v>0</v>
      </c>
      <c r="V544" s="56">
        <v>0</v>
      </c>
      <c r="W544" s="56">
        <v>2680</v>
      </c>
      <c r="X544" s="56">
        <v>14900000</v>
      </c>
      <c r="Y544" s="55" t="s">
        <v>272</v>
      </c>
    </row>
    <row r="545" spans="1:25">
      <c r="A545" s="55" t="s">
        <v>1089</v>
      </c>
      <c r="B545" s="56">
        <v>1</v>
      </c>
      <c r="C545" s="56">
        <v>0</v>
      </c>
      <c r="D545" s="56">
        <v>0</v>
      </c>
      <c r="E545" s="56">
        <v>44700000</v>
      </c>
      <c r="F545" s="56">
        <v>301831.126</v>
      </c>
      <c r="G545" s="56">
        <v>0</v>
      </c>
      <c r="H545" s="56">
        <v>44700000</v>
      </c>
      <c r="I545" s="56">
        <v>0</v>
      </c>
      <c r="J545" s="56">
        <v>20455782.55</v>
      </c>
      <c r="K545" s="56">
        <v>18</v>
      </c>
      <c r="N545" s="56">
        <v>0</v>
      </c>
      <c r="O545" s="56">
        <v>1</v>
      </c>
      <c r="P545" s="56">
        <v>1</v>
      </c>
      <c r="Q545" s="56">
        <v>20455782.55</v>
      </c>
      <c r="R545" s="56">
        <v>44700000</v>
      </c>
      <c r="S545" s="56">
        <v>18</v>
      </c>
      <c r="T545" s="56">
        <v>20455782.55</v>
      </c>
      <c r="U545" s="56">
        <v>0</v>
      </c>
      <c r="V545" s="56">
        <v>0</v>
      </c>
      <c r="W545" s="56">
        <v>1022789.13</v>
      </c>
      <c r="X545" s="56">
        <v>44700000</v>
      </c>
      <c r="Y545" s="55" t="s">
        <v>272</v>
      </c>
    </row>
    <row r="546" spans="1:25">
      <c r="A546" s="55" t="s">
        <v>1090</v>
      </c>
      <c r="B546" s="56">
        <v>11</v>
      </c>
      <c r="C546" s="56">
        <v>0</v>
      </c>
      <c r="D546" s="56">
        <v>0</v>
      </c>
      <c r="F546" s="56">
        <v>1743253.057</v>
      </c>
      <c r="G546" s="56">
        <v>0</v>
      </c>
      <c r="H546" s="56">
        <v>0</v>
      </c>
      <c r="I546" s="56">
        <v>0</v>
      </c>
      <c r="J546" s="56">
        <v>0</v>
      </c>
      <c r="K546" s="56">
        <v>25</v>
      </c>
      <c r="L546" s="56">
        <v>0</v>
      </c>
      <c r="M546" s="56">
        <v>1</v>
      </c>
      <c r="N546" s="56">
        <v>0</v>
      </c>
      <c r="O546" s="56">
        <v>1</v>
      </c>
      <c r="P546" s="56">
        <v>1</v>
      </c>
      <c r="Q546" s="56">
        <v>0</v>
      </c>
      <c r="R546" s="56">
        <v>32847999.13</v>
      </c>
      <c r="S546" s="56">
        <v>38</v>
      </c>
      <c r="T546" s="56">
        <v>15758816.82</v>
      </c>
      <c r="U546" s="56">
        <v>0</v>
      </c>
      <c r="V546" s="56">
        <v>0</v>
      </c>
      <c r="W546" s="56">
        <v>1743253.06</v>
      </c>
      <c r="X546" s="56">
        <v>0</v>
      </c>
      <c r="Y546" s="55" t="s">
        <v>272</v>
      </c>
    </row>
    <row r="547" spans="1:25">
      <c r="A547" s="55" t="s">
        <v>1091</v>
      </c>
      <c r="B547" s="56">
        <v>25</v>
      </c>
      <c r="C547" s="56">
        <v>0</v>
      </c>
      <c r="D547" s="56">
        <v>0</v>
      </c>
      <c r="F547" s="56">
        <v>3337600</v>
      </c>
      <c r="G547" s="56">
        <v>14187718.69</v>
      </c>
      <c r="H547" s="56">
        <v>0</v>
      </c>
      <c r="I547" s="56">
        <v>9923760.422436001</v>
      </c>
      <c r="J547" s="56">
        <v>0</v>
      </c>
      <c r="K547" s="56">
        <v>5.13</v>
      </c>
      <c r="L547" s="56">
        <v>0</v>
      </c>
      <c r="M547" s="56">
        <v>1</v>
      </c>
      <c r="N547" s="56">
        <v>0</v>
      </c>
      <c r="O547" s="56">
        <v>1</v>
      </c>
      <c r="P547" s="56">
        <v>2</v>
      </c>
      <c r="Q547" s="56">
        <v>14187718.69</v>
      </c>
      <c r="R547" s="56">
        <v>38267585.06999999</v>
      </c>
      <c r="S547" s="56">
        <v>16</v>
      </c>
      <c r="T547" s="56">
        <v>14187718.69</v>
      </c>
      <c r="U547" s="56">
        <v>0</v>
      </c>
      <c r="V547" s="56">
        <v>0</v>
      </c>
      <c r="W547" s="56">
        <v>9923760.42</v>
      </c>
      <c r="X547" s="56">
        <v>14187718.69</v>
      </c>
      <c r="Y547" s="55" t="s">
        <v>272</v>
      </c>
    </row>
    <row r="548" spans="1:25">
      <c r="A548" s="55" t="s">
        <v>1092</v>
      </c>
      <c r="B548" s="56">
        <v>54</v>
      </c>
      <c r="C548" s="56">
        <v>0</v>
      </c>
      <c r="D548" s="56">
        <v>0</v>
      </c>
      <c r="F548" s="56">
        <v>1513904.874</v>
      </c>
      <c r="G548" s="56">
        <v>17586886.62</v>
      </c>
      <c r="H548" s="56">
        <v>0</v>
      </c>
      <c r="I548" s="56">
        <v>3873830.42804</v>
      </c>
      <c r="J548" s="56">
        <v>0</v>
      </c>
      <c r="K548" s="56">
        <v>3.2</v>
      </c>
      <c r="L548" s="56">
        <v>0</v>
      </c>
      <c r="M548" s="56">
        <v>1</v>
      </c>
      <c r="N548" s="56">
        <v>0</v>
      </c>
      <c r="O548" s="56">
        <v>1</v>
      </c>
      <c r="P548" s="56">
        <v>1</v>
      </c>
      <c r="Q548" s="56">
        <v>17586886.62</v>
      </c>
      <c r="R548" s="56">
        <v>22246534.4</v>
      </c>
      <c r="S548" s="56">
        <v>24</v>
      </c>
      <c r="T548" s="56">
        <v>17586886.62</v>
      </c>
      <c r="U548" s="56">
        <v>0</v>
      </c>
      <c r="V548" s="56">
        <v>0</v>
      </c>
      <c r="W548" s="56">
        <v>3873830.43</v>
      </c>
      <c r="X548" s="56">
        <v>17586886.62</v>
      </c>
      <c r="Y548" s="55" t="s">
        <v>272</v>
      </c>
    </row>
    <row r="549" spans="1:25">
      <c r="A549" s="55" t="s">
        <v>1093</v>
      </c>
      <c r="B549" s="56">
        <v>247</v>
      </c>
      <c r="C549" s="56">
        <v>0</v>
      </c>
      <c r="D549" s="56">
        <v>0</v>
      </c>
      <c r="E549" s="56">
        <v>67050000</v>
      </c>
      <c r="F549" s="56">
        <v>22311236.43</v>
      </c>
      <c r="G549" s="56">
        <v>107328122.55</v>
      </c>
      <c r="H549" s="56">
        <v>134100000</v>
      </c>
      <c r="I549" s="56">
        <v>44984584.51128</v>
      </c>
      <c r="J549" s="56">
        <v>77715383.73</v>
      </c>
      <c r="K549" s="56">
        <v>12.17</v>
      </c>
      <c r="L549" s="56">
        <v>23</v>
      </c>
      <c r="M549" s="56">
        <v>2</v>
      </c>
      <c r="N549" s="56">
        <v>26</v>
      </c>
      <c r="O549" s="56">
        <v>2</v>
      </c>
      <c r="P549" s="56">
        <v>2</v>
      </c>
      <c r="Q549" s="56">
        <v>185043506.28</v>
      </c>
      <c r="R549" s="56">
        <v>2600331271.75</v>
      </c>
      <c r="S549" s="56">
        <v>79</v>
      </c>
      <c r="T549" s="56">
        <v>1069476426.28</v>
      </c>
      <c r="U549" s="56">
        <v>3</v>
      </c>
      <c r="V549" s="56">
        <v>0</v>
      </c>
      <c r="W549" s="56">
        <v>91139880.34999999</v>
      </c>
      <c r="X549" s="56">
        <v>241428122.55</v>
      </c>
      <c r="Y549" s="55" t="s">
        <v>272</v>
      </c>
    </row>
    <row r="550" spans="1:25">
      <c r="A550" s="55" t="s">
        <v>1094</v>
      </c>
      <c r="B550" s="56">
        <v>6</v>
      </c>
      <c r="C550" s="56">
        <v>0</v>
      </c>
      <c r="D550" s="56">
        <v>0</v>
      </c>
      <c r="E550" s="56">
        <v>417200000</v>
      </c>
      <c r="F550" s="56">
        <v>8156080.884</v>
      </c>
      <c r="G550" s="56">
        <v>0</v>
      </c>
      <c r="H550" s="56">
        <v>603748000</v>
      </c>
      <c r="I550" s="56">
        <v>0</v>
      </c>
      <c r="J550" s="56">
        <v>264329676.32</v>
      </c>
      <c r="K550" s="56">
        <v>87.67</v>
      </c>
      <c r="M550" s="56">
        <v>1</v>
      </c>
      <c r="N550" s="56">
        <v>0</v>
      </c>
      <c r="O550" s="56">
        <v>1</v>
      </c>
      <c r="P550" s="56">
        <v>1</v>
      </c>
      <c r="Q550" s="56">
        <v>264329676.32</v>
      </c>
      <c r="R550" s="56">
        <v>682661374.04</v>
      </c>
      <c r="S550" s="56">
        <v>113</v>
      </c>
      <c r="T550" s="56">
        <v>264329676.32</v>
      </c>
      <c r="U550" s="56">
        <v>0</v>
      </c>
      <c r="V550" s="56">
        <v>0</v>
      </c>
      <c r="W550" s="56">
        <v>13216483.82</v>
      </c>
      <c r="X550" s="56">
        <v>603748000</v>
      </c>
      <c r="Y550" s="55" t="s">
        <v>272</v>
      </c>
    </row>
    <row r="551" spans="1:25">
      <c r="A551" s="55" t="s">
        <v>1095</v>
      </c>
      <c r="B551" s="56">
        <v>9</v>
      </c>
      <c r="C551" s="56">
        <v>0</v>
      </c>
      <c r="D551" s="56">
        <v>0</v>
      </c>
      <c r="E551" s="56">
        <v>190979260</v>
      </c>
      <c r="F551" s="56">
        <v>3358188.132</v>
      </c>
      <c r="G551" s="56">
        <v>0</v>
      </c>
      <c r="H551" s="56">
        <v>628294260</v>
      </c>
      <c r="I551" s="56">
        <v>0</v>
      </c>
      <c r="J551" s="56">
        <v>100509036.17</v>
      </c>
      <c r="K551" s="56">
        <v>116.86</v>
      </c>
      <c r="L551" s="56">
        <v>0</v>
      </c>
      <c r="N551" s="56">
        <v>0</v>
      </c>
      <c r="O551" s="56">
        <v>1</v>
      </c>
      <c r="P551" s="56">
        <v>1</v>
      </c>
      <c r="Q551" s="56">
        <v>100509036.17</v>
      </c>
      <c r="R551" s="56">
        <v>1410544260</v>
      </c>
      <c r="S551" s="56">
        <v>268</v>
      </c>
      <c r="T551" s="56">
        <v>100509036.17</v>
      </c>
      <c r="U551" s="56">
        <v>1</v>
      </c>
      <c r="V551" s="56">
        <v>0</v>
      </c>
      <c r="W551" s="56">
        <v>5025451.81</v>
      </c>
      <c r="X551" s="56">
        <v>628294260</v>
      </c>
      <c r="Y551" s="55" t="s">
        <v>272</v>
      </c>
    </row>
    <row r="552" spans="1:25">
      <c r="A552" s="55" t="s">
        <v>1096</v>
      </c>
      <c r="B552" s="56">
        <v>79</v>
      </c>
      <c r="C552" s="56">
        <v>0</v>
      </c>
      <c r="D552" s="56">
        <v>0</v>
      </c>
      <c r="F552" s="56">
        <v>436040.498</v>
      </c>
      <c r="G552" s="56">
        <v>4216886.09</v>
      </c>
      <c r="H552" s="56">
        <v>0</v>
      </c>
      <c r="I552" s="56">
        <v>436040.498</v>
      </c>
      <c r="J552" s="56">
        <v>0</v>
      </c>
      <c r="K552" s="56">
        <v>13.67</v>
      </c>
      <c r="L552" s="56">
        <v>0</v>
      </c>
      <c r="M552" s="56">
        <v>1</v>
      </c>
      <c r="N552" s="56">
        <v>0</v>
      </c>
      <c r="O552" s="56">
        <v>1</v>
      </c>
      <c r="P552" s="56">
        <v>1</v>
      </c>
      <c r="Q552" s="56">
        <v>5621554.640000001</v>
      </c>
      <c r="R552" s="56">
        <v>16573983.71</v>
      </c>
      <c r="S552" s="56">
        <v>46</v>
      </c>
      <c r="T552" s="56">
        <v>5621554.640000001</v>
      </c>
      <c r="U552" s="56">
        <v>0</v>
      </c>
      <c r="V552" s="56">
        <v>0</v>
      </c>
      <c r="W552" s="56">
        <v>495572.12</v>
      </c>
      <c r="X552" s="56">
        <v>4216886.09</v>
      </c>
      <c r="Y552" s="55" t="s">
        <v>272</v>
      </c>
    </row>
    <row r="553" spans="1:25">
      <c r="A553" s="55" t="s">
        <v>1097</v>
      </c>
      <c r="B553" s="56">
        <v>1</v>
      </c>
      <c r="C553" s="56">
        <v>0</v>
      </c>
      <c r="D553" s="56">
        <v>0</v>
      </c>
      <c r="E553" s="56">
        <v>4470000</v>
      </c>
      <c r="F553" s="56">
        <v>98472.29334</v>
      </c>
      <c r="G553" s="56">
        <v>0</v>
      </c>
      <c r="H553" s="56">
        <v>4470000</v>
      </c>
      <c r="I553" s="56">
        <v>0</v>
      </c>
      <c r="J553" s="56">
        <v>0</v>
      </c>
      <c r="K553" s="56">
        <v>13</v>
      </c>
      <c r="N553" s="56">
        <v>0</v>
      </c>
      <c r="O553" s="56">
        <v>1</v>
      </c>
      <c r="P553" s="56">
        <v>1</v>
      </c>
      <c r="Q553" s="56">
        <v>0</v>
      </c>
      <c r="R553" s="56">
        <v>4470000</v>
      </c>
      <c r="S553" s="56">
        <v>13</v>
      </c>
      <c r="T553" s="56">
        <v>0</v>
      </c>
      <c r="U553" s="56">
        <v>0</v>
      </c>
      <c r="V553" s="56">
        <v>0</v>
      </c>
      <c r="W553" s="56">
        <v>0</v>
      </c>
      <c r="X553" s="56">
        <v>4470000</v>
      </c>
      <c r="Y553" s="55" t="s">
        <v>272</v>
      </c>
    </row>
    <row r="554" spans="1:25">
      <c r="A554" s="55" t="s">
        <v>1098</v>
      </c>
      <c r="B554" s="56">
        <v>13</v>
      </c>
      <c r="C554" s="56">
        <v>0</v>
      </c>
      <c r="D554" s="56">
        <v>0</v>
      </c>
      <c r="F554" s="56">
        <v>8706067.732000001</v>
      </c>
      <c r="G554" s="56">
        <v>5883772.71</v>
      </c>
      <c r="H554" s="56">
        <v>0</v>
      </c>
      <c r="I554" s="56">
        <v>2881414.628</v>
      </c>
      <c r="J554" s="56">
        <v>0</v>
      </c>
      <c r="K554" s="56">
        <v>6.83</v>
      </c>
      <c r="L554" s="56">
        <v>10</v>
      </c>
      <c r="M554" s="56">
        <v>1</v>
      </c>
      <c r="N554" s="56">
        <v>0</v>
      </c>
      <c r="O554" s="56">
        <v>1</v>
      </c>
      <c r="P554" s="56">
        <v>1</v>
      </c>
      <c r="Q554" s="56">
        <v>5883772.71</v>
      </c>
      <c r="R554" s="56">
        <v>420111793.76</v>
      </c>
      <c r="S554" s="56">
        <v>14</v>
      </c>
      <c r="T554" s="56">
        <v>276361312.96</v>
      </c>
      <c r="U554" s="56">
        <v>0</v>
      </c>
      <c r="V554" s="56">
        <v>0</v>
      </c>
      <c r="W554" s="56">
        <v>15805176.67</v>
      </c>
      <c r="X554" s="56">
        <v>5883772.71</v>
      </c>
      <c r="Y554" s="55" t="s">
        <v>272</v>
      </c>
    </row>
    <row r="555" spans="1:25">
      <c r="A555" s="55" t="s">
        <v>1099</v>
      </c>
      <c r="B555" s="56">
        <v>5</v>
      </c>
      <c r="C555" s="56">
        <v>0</v>
      </c>
      <c r="D555" s="56">
        <v>0</v>
      </c>
      <c r="F555" s="56">
        <v>1052158.652</v>
      </c>
      <c r="G555" s="56">
        <v>3875059.3</v>
      </c>
      <c r="H555" s="56">
        <v>0</v>
      </c>
      <c r="I555" s="56">
        <v>1149394.32055</v>
      </c>
      <c r="J555" s="56">
        <v>0</v>
      </c>
      <c r="K555" s="56">
        <v>4</v>
      </c>
      <c r="L555" s="56">
        <v>0</v>
      </c>
      <c r="M555" s="56">
        <v>1</v>
      </c>
      <c r="N555" s="56">
        <v>0</v>
      </c>
      <c r="O555" s="56">
        <v>1</v>
      </c>
      <c r="P555" s="56">
        <v>1</v>
      </c>
      <c r="Q555" s="56">
        <v>3875059.3</v>
      </c>
      <c r="R555" s="56">
        <v>5605427.68</v>
      </c>
      <c r="S555" s="56">
        <v>15</v>
      </c>
      <c r="T555" s="56">
        <v>3875059.3</v>
      </c>
      <c r="U555" s="56">
        <v>0</v>
      </c>
      <c r="V555" s="56">
        <v>0</v>
      </c>
      <c r="W555" s="56">
        <v>1149394.32</v>
      </c>
      <c r="X555" s="56">
        <v>3875059.3</v>
      </c>
      <c r="Y555" s="55" t="s">
        <v>272</v>
      </c>
    </row>
    <row r="556" spans="1:25">
      <c r="A556" s="55" t="s">
        <v>1100</v>
      </c>
      <c r="B556" s="56">
        <v>9</v>
      </c>
      <c r="C556" s="56">
        <v>0</v>
      </c>
      <c r="D556" s="56">
        <v>1</v>
      </c>
      <c r="E556" s="56">
        <v>409750000</v>
      </c>
      <c r="F556" s="56">
        <v>7315660.766</v>
      </c>
      <c r="G556" s="56">
        <v>0</v>
      </c>
      <c r="H556" s="56">
        <v>525970000</v>
      </c>
      <c r="I556" s="56">
        <v>0</v>
      </c>
      <c r="J556" s="56">
        <v>1146438.48</v>
      </c>
      <c r="K556" s="56">
        <v>160.5</v>
      </c>
      <c r="M556" s="56">
        <v>1</v>
      </c>
      <c r="N556" s="56">
        <v>316</v>
      </c>
      <c r="O556" s="56">
        <v>5</v>
      </c>
      <c r="P556" s="56">
        <v>5</v>
      </c>
      <c r="Q556" s="56">
        <v>1146438.48</v>
      </c>
      <c r="R556" s="56">
        <v>3058059533.77</v>
      </c>
      <c r="S556" s="56">
        <v>210</v>
      </c>
      <c r="T556" s="56">
        <v>1810013611.48</v>
      </c>
      <c r="U556" s="56">
        <v>0</v>
      </c>
      <c r="V556" s="56">
        <v>0</v>
      </c>
      <c r="W556" s="56">
        <v>57321.92</v>
      </c>
      <c r="X556" s="56">
        <v>525970000</v>
      </c>
      <c r="Y556" s="55" t="s">
        <v>546</v>
      </c>
    </row>
    <row r="557" spans="1:25">
      <c r="A557" s="55" t="s">
        <v>1101</v>
      </c>
      <c r="B557" s="56">
        <v>3</v>
      </c>
      <c r="C557" s="56">
        <v>0</v>
      </c>
      <c r="D557" s="56">
        <v>1</v>
      </c>
      <c r="F557" s="56">
        <v>1045998.538</v>
      </c>
      <c r="G557" s="56">
        <v>0</v>
      </c>
      <c r="H557" s="56">
        <v>0</v>
      </c>
      <c r="I557" s="56">
        <v>0</v>
      </c>
      <c r="J557" s="56">
        <v>0</v>
      </c>
      <c r="K557" s="56">
        <v>52</v>
      </c>
      <c r="L557" s="56">
        <v>1299</v>
      </c>
      <c r="N557" s="56">
        <v>1299</v>
      </c>
      <c r="O557" s="56">
        <v>5</v>
      </c>
      <c r="P557" s="56">
        <v>5</v>
      </c>
      <c r="Q557" s="56">
        <v>246000</v>
      </c>
      <c r="R557" s="56">
        <v>0</v>
      </c>
      <c r="S557" s="56">
        <v>52</v>
      </c>
      <c r="T557" s="56">
        <v>7246669.88</v>
      </c>
      <c r="U557" s="56">
        <v>1</v>
      </c>
      <c r="V557" s="56">
        <v>0</v>
      </c>
      <c r="W557" s="56">
        <v>1045998.54</v>
      </c>
      <c r="X557" s="56">
        <v>0</v>
      </c>
      <c r="Y557" s="55" t="s">
        <v>546</v>
      </c>
    </row>
    <row r="558" spans="1:25">
      <c r="A558" s="55" t="s">
        <v>1102</v>
      </c>
      <c r="B558" s="56">
        <v>9</v>
      </c>
      <c r="C558" s="56">
        <v>0</v>
      </c>
      <c r="D558" s="56">
        <v>0</v>
      </c>
      <c r="F558" s="56">
        <v>1309751.645</v>
      </c>
      <c r="G558" s="56">
        <v>0</v>
      </c>
      <c r="H558" s="56">
        <v>0</v>
      </c>
      <c r="I558" s="56">
        <v>0</v>
      </c>
      <c r="J558" s="56">
        <v>0</v>
      </c>
      <c r="K558" s="56">
        <v>61</v>
      </c>
      <c r="L558" s="56">
        <v>0</v>
      </c>
      <c r="M558" s="56">
        <v>5</v>
      </c>
      <c r="N558" s="56">
        <v>0</v>
      </c>
      <c r="O558" s="56">
        <v>1</v>
      </c>
      <c r="P558" s="56">
        <v>1</v>
      </c>
      <c r="Q558" s="56">
        <v>0</v>
      </c>
      <c r="R558" s="56">
        <v>134726074.2</v>
      </c>
      <c r="S558" s="56">
        <v>61</v>
      </c>
      <c r="T558" s="56">
        <v>94036991.36</v>
      </c>
      <c r="U558" s="56">
        <v>1</v>
      </c>
      <c r="V558" s="56">
        <v>0</v>
      </c>
      <c r="W558" s="56">
        <v>1309751.65</v>
      </c>
      <c r="X558" s="56">
        <v>0</v>
      </c>
      <c r="Y558" s="55" t="s">
        <v>272</v>
      </c>
    </row>
    <row r="559" spans="1:25">
      <c r="A559" s="55" t="s">
        <v>1103</v>
      </c>
      <c r="B559" s="56">
        <v>1</v>
      </c>
      <c r="C559" s="56">
        <v>0</v>
      </c>
      <c r="D559" s="56">
        <v>1</v>
      </c>
      <c r="G559" s="56">
        <v>0</v>
      </c>
      <c r="H559" s="56">
        <v>0</v>
      </c>
      <c r="I559" s="56">
        <v>0</v>
      </c>
      <c r="J559" s="56">
        <v>0</v>
      </c>
      <c r="N559" s="56">
        <v>743</v>
      </c>
      <c r="O559" s="56">
        <v>5</v>
      </c>
      <c r="P559" s="56">
        <v>5</v>
      </c>
      <c r="Q559" s="56">
        <v>1081600</v>
      </c>
      <c r="R559" s="56">
        <v>2235000</v>
      </c>
      <c r="S559" s="56">
        <v>37</v>
      </c>
      <c r="T559" s="56">
        <v>1081600</v>
      </c>
      <c r="U559" s="56">
        <v>0</v>
      </c>
      <c r="V559" s="56">
        <v>0</v>
      </c>
      <c r="W559" s="56">
        <v>0</v>
      </c>
      <c r="X559" s="56">
        <v>0</v>
      </c>
      <c r="Y559" s="55" t="s">
        <v>546</v>
      </c>
    </row>
    <row r="560" spans="1:25">
      <c r="A560" s="55" t="s">
        <v>1104</v>
      </c>
      <c r="B560" s="56">
        <v>102</v>
      </c>
      <c r="C560" s="56">
        <v>0</v>
      </c>
      <c r="D560" s="56">
        <v>0</v>
      </c>
      <c r="E560" s="56">
        <v>89400000</v>
      </c>
      <c r="F560" s="56">
        <v>78386658.38</v>
      </c>
      <c r="G560" s="56">
        <v>0</v>
      </c>
      <c r="H560" s="56">
        <v>125160000</v>
      </c>
      <c r="I560" s="56">
        <v>0</v>
      </c>
      <c r="J560" s="56">
        <v>4896011.31</v>
      </c>
      <c r="K560" s="56">
        <v>44.6</v>
      </c>
      <c r="L560" s="56">
        <v>0</v>
      </c>
      <c r="M560" s="56">
        <v>1</v>
      </c>
      <c r="N560" s="56">
        <v>0</v>
      </c>
      <c r="O560" s="56">
        <v>1</v>
      </c>
      <c r="P560" s="56">
        <v>1</v>
      </c>
      <c r="Q560" s="56">
        <v>4896011.31</v>
      </c>
      <c r="R560" s="56">
        <v>7516305001</v>
      </c>
      <c r="S560" s="56">
        <v>122</v>
      </c>
      <c r="T560" s="56">
        <v>5064096011.31</v>
      </c>
      <c r="U560" s="56">
        <v>0</v>
      </c>
      <c r="V560" s="56">
        <v>0</v>
      </c>
      <c r="W560" s="56">
        <v>78631458.95</v>
      </c>
      <c r="X560" s="56">
        <v>125160000</v>
      </c>
      <c r="Y560" s="55" t="s">
        <v>272</v>
      </c>
    </row>
    <row r="561" spans="1:25">
      <c r="A561" s="55" t="s">
        <v>1105</v>
      </c>
      <c r="B561" s="56">
        <v>49</v>
      </c>
      <c r="C561" s="56">
        <v>0</v>
      </c>
      <c r="D561" s="56">
        <v>0</v>
      </c>
      <c r="F561" s="56">
        <v>77141003.51000001</v>
      </c>
      <c r="G561" s="56">
        <v>15429362.54</v>
      </c>
      <c r="H561" s="56">
        <v>0</v>
      </c>
      <c r="I561" s="56">
        <v>10472015.388</v>
      </c>
      <c r="J561" s="56">
        <v>0</v>
      </c>
      <c r="K561" s="56">
        <v>7.57</v>
      </c>
      <c r="L561" s="56">
        <v>0</v>
      </c>
      <c r="M561" s="56">
        <v>5</v>
      </c>
      <c r="N561" s="56">
        <v>114</v>
      </c>
      <c r="O561" s="56">
        <v>2</v>
      </c>
      <c r="P561" s="56">
        <v>4</v>
      </c>
      <c r="Q561" s="56">
        <v>15429362.54</v>
      </c>
      <c r="R561" s="56">
        <v>1322965971.25</v>
      </c>
      <c r="S561" s="56">
        <v>72</v>
      </c>
      <c r="T561" s="56">
        <v>418879362.54</v>
      </c>
      <c r="U561" s="56">
        <v>1</v>
      </c>
      <c r="V561" s="56">
        <v>0</v>
      </c>
      <c r="W561" s="56">
        <v>90895675.09999999</v>
      </c>
      <c r="X561" s="56">
        <v>15429362.54</v>
      </c>
      <c r="Y561" s="55" t="s">
        <v>272</v>
      </c>
    </row>
    <row r="562" spans="1:25">
      <c r="A562" s="55" t="s">
        <v>1106</v>
      </c>
      <c r="B562" s="56">
        <v>13</v>
      </c>
      <c r="C562" s="56">
        <v>0</v>
      </c>
      <c r="D562" s="56">
        <v>0</v>
      </c>
      <c r="F562" s="56">
        <v>1123196.214</v>
      </c>
      <c r="G562" s="56">
        <v>1192698.93</v>
      </c>
      <c r="H562" s="56">
        <v>0</v>
      </c>
      <c r="I562" s="56">
        <v>708336.2995</v>
      </c>
      <c r="J562" s="56">
        <v>0</v>
      </c>
      <c r="K562" s="56">
        <v>34</v>
      </c>
      <c r="L562" s="56">
        <v>0</v>
      </c>
      <c r="M562" s="56">
        <v>1</v>
      </c>
      <c r="N562" s="56">
        <v>0</v>
      </c>
      <c r="O562" s="56">
        <v>1</v>
      </c>
      <c r="P562" s="56">
        <v>1</v>
      </c>
      <c r="Q562" s="56">
        <v>1192698.93</v>
      </c>
      <c r="R562" s="56">
        <v>176831823.24</v>
      </c>
      <c r="S562" s="56">
        <v>99</v>
      </c>
      <c r="T562" s="56">
        <v>89474979.55000001</v>
      </c>
      <c r="U562" s="56">
        <v>0</v>
      </c>
      <c r="V562" s="56">
        <v>0</v>
      </c>
      <c r="W562" s="56">
        <v>1831532.51</v>
      </c>
      <c r="X562" s="56">
        <v>1192698.93</v>
      </c>
      <c r="Y562" s="55" t="s">
        <v>272</v>
      </c>
    </row>
    <row r="563" spans="1:25">
      <c r="A563" s="55" t="s">
        <v>1107</v>
      </c>
      <c r="B563" s="56">
        <v>21</v>
      </c>
      <c r="C563" s="56">
        <v>0</v>
      </c>
      <c r="D563" s="56">
        <v>0</v>
      </c>
      <c r="F563" s="56">
        <v>1156254.319</v>
      </c>
      <c r="G563" s="56">
        <v>4443989.859999999</v>
      </c>
      <c r="H563" s="56">
        <v>0</v>
      </c>
      <c r="I563" s="56">
        <v>2631147.3061</v>
      </c>
      <c r="J563" s="56">
        <v>0</v>
      </c>
      <c r="K563" s="56">
        <v>1.25</v>
      </c>
      <c r="L563" s="56">
        <v>0</v>
      </c>
      <c r="M563" s="56">
        <v>5</v>
      </c>
      <c r="N563" s="56">
        <v>0</v>
      </c>
      <c r="O563" s="56">
        <v>1</v>
      </c>
      <c r="P563" s="56">
        <v>5</v>
      </c>
      <c r="Q563" s="56">
        <v>4443989.859999999</v>
      </c>
      <c r="R563" s="56">
        <v>15482867.14</v>
      </c>
      <c r="S563" s="56">
        <v>31</v>
      </c>
      <c r="T563" s="56">
        <v>4443989.859999999</v>
      </c>
      <c r="U563" s="56">
        <v>0</v>
      </c>
      <c r="V563" s="56">
        <v>0</v>
      </c>
      <c r="W563" s="56">
        <v>2631147.31</v>
      </c>
      <c r="X563" s="56">
        <v>4443989.86</v>
      </c>
      <c r="Y563" s="55" t="s">
        <v>272</v>
      </c>
    </row>
    <row r="564" spans="1:25">
      <c r="A564" s="55" t="s">
        <v>1108</v>
      </c>
      <c r="B564" s="56">
        <v>3</v>
      </c>
      <c r="C564" s="56">
        <v>0</v>
      </c>
      <c r="D564" s="56">
        <v>0</v>
      </c>
      <c r="F564" s="56">
        <v>7816811.756</v>
      </c>
      <c r="G564" s="56">
        <v>0</v>
      </c>
      <c r="H564" s="56">
        <v>0</v>
      </c>
      <c r="I564" s="56">
        <v>0</v>
      </c>
      <c r="J564" s="56">
        <v>0</v>
      </c>
      <c r="K564" s="56">
        <v>15</v>
      </c>
      <c r="L564" s="56">
        <v>0</v>
      </c>
      <c r="N564" s="56">
        <v>0</v>
      </c>
      <c r="O564" s="56">
        <v>1</v>
      </c>
      <c r="P564" s="56">
        <v>1</v>
      </c>
      <c r="Q564" s="56">
        <v>0</v>
      </c>
      <c r="R564" s="56">
        <v>363430468.38</v>
      </c>
      <c r="S564" s="56">
        <v>49</v>
      </c>
      <c r="T564" s="56">
        <v>200287591.7</v>
      </c>
      <c r="U564" s="56">
        <v>0</v>
      </c>
      <c r="V564" s="56">
        <v>0</v>
      </c>
      <c r="W564" s="56">
        <v>7816811.76</v>
      </c>
      <c r="X564" s="56">
        <v>0</v>
      </c>
      <c r="Y564" s="55" t="s">
        <v>272</v>
      </c>
    </row>
    <row r="565" spans="1:25">
      <c r="A565" s="55" t="s">
        <v>1109</v>
      </c>
      <c r="B565" s="56">
        <v>4</v>
      </c>
      <c r="C565" s="56">
        <v>0</v>
      </c>
      <c r="D565" s="56">
        <v>0</v>
      </c>
      <c r="E565" s="56">
        <v>74500000</v>
      </c>
      <c r="F565" s="56">
        <v>1607785.235</v>
      </c>
      <c r="G565" s="56">
        <v>0</v>
      </c>
      <c r="H565" s="56">
        <v>104300000</v>
      </c>
      <c r="I565" s="56">
        <v>0</v>
      </c>
      <c r="J565" s="56">
        <v>17074835.8</v>
      </c>
      <c r="K565" s="56">
        <v>24.5</v>
      </c>
      <c r="M565" s="56">
        <v>1</v>
      </c>
      <c r="N565" s="56">
        <v>0</v>
      </c>
      <c r="O565" s="56">
        <v>1</v>
      </c>
      <c r="P565" s="56">
        <v>1</v>
      </c>
      <c r="Q565" s="56">
        <v>17074835.8</v>
      </c>
      <c r="R565" s="56">
        <v>192210000</v>
      </c>
      <c r="S565" s="56">
        <v>129</v>
      </c>
      <c r="T565" s="56">
        <v>17074835.8</v>
      </c>
      <c r="U565" s="56">
        <v>0</v>
      </c>
      <c r="V565" s="56">
        <v>0</v>
      </c>
      <c r="W565" s="56">
        <v>853741.79</v>
      </c>
      <c r="X565" s="56">
        <v>104300000</v>
      </c>
      <c r="Y565" s="55" t="s">
        <v>272</v>
      </c>
    </row>
    <row r="566" spans="1:25">
      <c r="A566" s="55" t="s">
        <v>1110</v>
      </c>
      <c r="B566" s="56">
        <v>3</v>
      </c>
      <c r="C566" s="56">
        <v>0</v>
      </c>
      <c r="D566" s="56">
        <v>0</v>
      </c>
      <c r="E566" s="56">
        <v>2980000</v>
      </c>
      <c r="F566" s="56">
        <v>51093.17742</v>
      </c>
      <c r="G566" s="56">
        <v>0</v>
      </c>
      <c r="H566" s="56">
        <v>5960000</v>
      </c>
      <c r="I566" s="56">
        <v>0</v>
      </c>
      <c r="J566" s="56">
        <v>0</v>
      </c>
      <c r="K566" s="56">
        <v>96</v>
      </c>
      <c r="N566" s="56">
        <v>0</v>
      </c>
      <c r="O566" s="56">
        <v>1</v>
      </c>
      <c r="P566" s="56">
        <v>1</v>
      </c>
      <c r="Q566" s="56">
        <v>0</v>
      </c>
      <c r="R566" s="56">
        <v>20860000</v>
      </c>
      <c r="S566" s="56">
        <v>96</v>
      </c>
      <c r="T566" s="56">
        <v>0</v>
      </c>
      <c r="U566" s="56">
        <v>0</v>
      </c>
      <c r="V566" s="56">
        <v>0</v>
      </c>
      <c r="W566" s="56">
        <v>0</v>
      </c>
      <c r="X566" s="56">
        <v>5960000</v>
      </c>
      <c r="Y566" s="55" t="s">
        <v>272</v>
      </c>
    </row>
    <row r="567" spans="1:25">
      <c r="A567" s="55" t="s">
        <v>1111</v>
      </c>
      <c r="B567" s="56">
        <v>4</v>
      </c>
      <c r="C567" s="56">
        <v>0</v>
      </c>
      <c r="D567" s="56">
        <v>0</v>
      </c>
      <c r="E567" s="56">
        <v>240691620</v>
      </c>
      <c r="F567" s="56">
        <v>4278637.591</v>
      </c>
      <c r="G567" s="56">
        <v>0</v>
      </c>
      <c r="H567" s="56">
        <v>240691620</v>
      </c>
      <c r="I567" s="56">
        <v>0</v>
      </c>
      <c r="J567" s="56">
        <v>29107903.68</v>
      </c>
      <c r="K567" s="56">
        <v>206</v>
      </c>
      <c r="N567" s="56">
        <v>0</v>
      </c>
      <c r="O567" s="56">
        <v>1</v>
      </c>
      <c r="P567" s="56">
        <v>1</v>
      </c>
      <c r="Q567" s="56">
        <v>29107903.68</v>
      </c>
      <c r="R567" s="56">
        <v>761175377.4</v>
      </c>
      <c r="S567" s="56">
        <v>206</v>
      </c>
      <c r="T567" s="56">
        <v>29107903.68</v>
      </c>
      <c r="U567" s="56">
        <v>0</v>
      </c>
      <c r="V567" s="56">
        <v>0</v>
      </c>
      <c r="W567" s="56">
        <v>1455395.18</v>
      </c>
      <c r="X567" s="56">
        <v>240691620</v>
      </c>
      <c r="Y567" s="55" t="s">
        <v>272</v>
      </c>
    </row>
    <row r="568" spans="1:25">
      <c r="A568" s="55" t="s">
        <v>1112</v>
      </c>
      <c r="B568" s="56">
        <v>42</v>
      </c>
      <c r="C568" s="56">
        <v>0</v>
      </c>
      <c r="D568" s="56">
        <v>0</v>
      </c>
      <c r="F568" s="56">
        <v>304147.8526</v>
      </c>
      <c r="G568" s="56">
        <v>660000</v>
      </c>
      <c r="H568" s="56">
        <v>0</v>
      </c>
      <c r="I568" s="56">
        <v>366231.18593</v>
      </c>
      <c r="J568" s="56">
        <v>0</v>
      </c>
      <c r="K568" s="56">
        <v>8.67</v>
      </c>
      <c r="L568" s="56">
        <v>0</v>
      </c>
      <c r="M568" s="56">
        <v>1</v>
      </c>
      <c r="N568" s="56">
        <v>0</v>
      </c>
      <c r="O568" s="56">
        <v>1</v>
      </c>
      <c r="P568" s="56">
        <v>1</v>
      </c>
      <c r="Q568" s="56">
        <v>660540.35</v>
      </c>
      <c r="R568" s="56">
        <v>11820478.43</v>
      </c>
      <c r="S568" s="56">
        <v>36</v>
      </c>
      <c r="T568" s="56">
        <v>660540.35</v>
      </c>
      <c r="U568" s="56">
        <v>0</v>
      </c>
      <c r="V568" s="56">
        <v>0</v>
      </c>
      <c r="W568" s="56">
        <v>366985.49</v>
      </c>
      <c r="X568" s="56">
        <v>660000</v>
      </c>
      <c r="Y568" s="55" t="s">
        <v>272</v>
      </c>
    </row>
    <row r="569" spans="1:25">
      <c r="A569" s="55" t="s">
        <v>1113</v>
      </c>
      <c r="B569" s="56">
        <v>7</v>
      </c>
      <c r="C569" s="56">
        <v>0</v>
      </c>
      <c r="D569" s="56">
        <v>0</v>
      </c>
      <c r="E569" s="56">
        <v>35760000</v>
      </c>
      <c r="F569" s="56">
        <v>771922.0592</v>
      </c>
      <c r="G569" s="56">
        <v>0</v>
      </c>
      <c r="H569" s="56">
        <v>113240000</v>
      </c>
      <c r="I569" s="56">
        <v>0</v>
      </c>
      <c r="J569" s="56">
        <v>15700938.93</v>
      </c>
      <c r="K569" s="56">
        <v>98</v>
      </c>
      <c r="N569" s="56">
        <v>0</v>
      </c>
      <c r="O569" s="56">
        <v>1</v>
      </c>
      <c r="P569" s="56">
        <v>1</v>
      </c>
      <c r="Q569" s="56">
        <v>15700938.93</v>
      </c>
      <c r="R569" s="56">
        <v>190720000</v>
      </c>
      <c r="S569" s="56">
        <v>137</v>
      </c>
      <c r="T569" s="56">
        <v>15700938.93</v>
      </c>
      <c r="U569" s="56">
        <v>2</v>
      </c>
      <c r="V569" s="56">
        <v>0</v>
      </c>
      <c r="W569" s="56">
        <v>785046.95</v>
      </c>
      <c r="X569" s="56">
        <v>113240000</v>
      </c>
      <c r="Y569" s="55" t="s">
        <v>272</v>
      </c>
    </row>
    <row r="570" spans="1:25">
      <c r="A570" s="55" t="s">
        <v>1114</v>
      </c>
      <c r="B570" s="56">
        <v>23</v>
      </c>
      <c r="C570" s="56">
        <v>4</v>
      </c>
      <c r="D570" s="56">
        <v>0</v>
      </c>
      <c r="E570" s="56">
        <v>447000000</v>
      </c>
      <c r="F570" s="56">
        <v>119692699.6</v>
      </c>
      <c r="G570" s="56">
        <v>0</v>
      </c>
      <c r="H570" s="56">
        <v>1326100000</v>
      </c>
      <c r="I570" s="56">
        <v>0</v>
      </c>
      <c r="J570" s="56">
        <v>359796787.92</v>
      </c>
      <c r="K570" s="56">
        <v>64.67</v>
      </c>
      <c r="L570" s="56">
        <v>0</v>
      </c>
      <c r="M570" s="56">
        <v>1</v>
      </c>
      <c r="N570" s="56">
        <v>0</v>
      </c>
      <c r="O570" s="56">
        <v>1</v>
      </c>
      <c r="P570" s="56">
        <v>1</v>
      </c>
      <c r="Q570" s="56">
        <v>359796787.92</v>
      </c>
      <c r="R570" s="56">
        <v>19783518081.2</v>
      </c>
      <c r="S570" s="56">
        <v>155</v>
      </c>
      <c r="T570" s="56">
        <v>5286350523.12</v>
      </c>
      <c r="U570" s="56">
        <v>0</v>
      </c>
      <c r="V570" s="56">
        <v>0</v>
      </c>
      <c r="W570" s="56">
        <v>275802597.52</v>
      </c>
      <c r="X570" s="56">
        <v>1326100000</v>
      </c>
      <c r="Y570" s="55" t="s">
        <v>563</v>
      </c>
    </row>
    <row r="571" spans="1:25">
      <c r="A571" s="55" t="s">
        <v>1115</v>
      </c>
      <c r="B571" s="56">
        <v>21</v>
      </c>
      <c r="C571" s="56">
        <v>0</v>
      </c>
      <c r="D571" s="56">
        <v>0</v>
      </c>
      <c r="E571" s="56">
        <v>82695000</v>
      </c>
      <c r="F571" s="56">
        <v>2136403.824</v>
      </c>
      <c r="G571" s="56">
        <v>0</v>
      </c>
      <c r="H571" s="56">
        <v>318860000</v>
      </c>
      <c r="I571" s="56">
        <v>0</v>
      </c>
      <c r="J571" s="56">
        <v>67429784.94</v>
      </c>
      <c r="K571" s="56">
        <v>5.5</v>
      </c>
      <c r="L571" s="56">
        <v>0</v>
      </c>
      <c r="M571" s="56">
        <v>1</v>
      </c>
      <c r="N571" s="56">
        <v>0</v>
      </c>
      <c r="O571" s="56">
        <v>1</v>
      </c>
      <c r="P571" s="56">
        <v>1</v>
      </c>
      <c r="Q571" s="56">
        <v>67429784.94</v>
      </c>
      <c r="R571" s="56">
        <v>428763079.44</v>
      </c>
      <c r="S571" s="56">
        <v>52</v>
      </c>
      <c r="T571" s="56">
        <v>67429784.94</v>
      </c>
      <c r="U571" s="56">
        <v>0</v>
      </c>
      <c r="V571" s="56">
        <v>0</v>
      </c>
      <c r="W571" s="56">
        <v>3371489.25</v>
      </c>
      <c r="X571" s="56">
        <v>318860000</v>
      </c>
      <c r="Y571" s="55" t="s">
        <v>272</v>
      </c>
    </row>
    <row r="572" spans="1:25">
      <c r="A572" s="55" t="s">
        <v>1116</v>
      </c>
      <c r="B572" s="56">
        <v>12</v>
      </c>
      <c r="C572" s="56">
        <v>0</v>
      </c>
      <c r="D572" s="56">
        <v>0</v>
      </c>
      <c r="F572" s="56">
        <v>560016.9209</v>
      </c>
      <c r="G572" s="56">
        <v>1178418.08</v>
      </c>
      <c r="H572" s="56">
        <v>0</v>
      </c>
      <c r="I572" s="56">
        <v>560016.9209</v>
      </c>
      <c r="J572" s="56">
        <v>0</v>
      </c>
      <c r="K572" s="56">
        <v>2.5</v>
      </c>
      <c r="L572" s="56">
        <v>0</v>
      </c>
      <c r="M572" s="56">
        <v>2</v>
      </c>
      <c r="N572" s="56">
        <v>0</v>
      </c>
      <c r="O572" s="56">
        <v>1</v>
      </c>
      <c r="P572" s="56">
        <v>2</v>
      </c>
      <c r="Q572" s="56">
        <v>36682227.08</v>
      </c>
      <c r="R572" s="56">
        <v>154487461.4</v>
      </c>
      <c r="S572" s="56">
        <v>62</v>
      </c>
      <c r="T572" s="56">
        <v>36682227.08</v>
      </c>
      <c r="U572" s="56">
        <v>0</v>
      </c>
      <c r="V572" s="56">
        <v>0</v>
      </c>
      <c r="W572" s="56">
        <v>746266.92</v>
      </c>
      <c r="X572" s="56">
        <v>1178418.08</v>
      </c>
      <c r="Y572" s="55" t="s">
        <v>272</v>
      </c>
    </row>
    <row r="573" spans="1:25">
      <c r="A573" s="55" t="s">
        <v>1117</v>
      </c>
      <c r="B573" s="56">
        <v>23</v>
      </c>
      <c r="C573" s="56">
        <v>0</v>
      </c>
      <c r="D573" s="56">
        <v>0</v>
      </c>
      <c r="F573" s="56">
        <v>4509573.738</v>
      </c>
      <c r="G573" s="56">
        <v>5107222</v>
      </c>
      <c r="H573" s="56">
        <v>0</v>
      </c>
      <c r="I573" s="56">
        <v>3015971.54041</v>
      </c>
      <c r="J573" s="56">
        <v>0</v>
      </c>
      <c r="K573" s="56">
        <v>5</v>
      </c>
      <c r="L573" s="56">
        <v>0</v>
      </c>
      <c r="M573" s="56">
        <v>5</v>
      </c>
      <c r="N573" s="56">
        <v>0</v>
      </c>
      <c r="O573" s="56">
        <v>1</v>
      </c>
      <c r="P573" s="56">
        <v>1</v>
      </c>
      <c r="Q573" s="56">
        <v>5107222</v>
      </c>
      <c r="R573" s="56">
        <v>875388859.9699999</v>
      </c>
      <c r="S573" s="56">
        <v>69</v>
      </c>
      <c r="T573" s="56">
        <v>274616508</v>
      </c>
      <c r="U573" s="56">
        <v>0</v>
      </c>
      <c r="V573" s="56">
        <v>0</v>
      </c>
      <c r="W573" s="56">
        <v>7525545.28</v>
      </c>
      <c r="X573" s="56">
        <v>5107222</v>
      </c>
      <c r="Y573" s="55" t="s">
        <v>272</v>
      </c>
    </row>
    <row r="574" spans="1:25">
      <c r="A574" s="55" t="s">
        <v>1118</v>
      </c>
      <c r="B574" s="56">
        <v>3</v>
      </c>
      <c r="C574" s="56">
        <v>0</v>
      </c>
      <c r="D574" s="56">
        <v>0</v>
      </c>
      <c r="E574" s="56">
        <v>3725000</v>
      </c>
      <c r="F574" s="56">
        <v>2647107.58</v>
      </c>
      <c r="G574" s="56">
        <v>8514134.65</v>
      </c>
      <c r="H574" s="56">
        <v>3725000</v>
      </c>
      <c r="I574" s="56">
        <v>4746111.211</v>
      </c>
      <c r="J574" s="56">
        <v>0</v>
      </c>
      <c r="K574" s="56">
        <v>8</v>
      </c>
      <c r="L574" s="56">
        <v>0</v>
      </c>
      <c r="N574" s="56">
        <v>0</v>
      </c>
      <c r="O574" s="56">
        <v>1</v>
      </c>
      <c r="P574" s="56">
        <v>1</v>
      </c>
      <c r="Q574" s="56">
        <v>8514134.65</v>
      </c>
      <c r="R574" s="56">
        <v>64299497.25</v>
      </c>
      <c r="S574" s="56">
        <v>19</v>
      </c>
      <c r="T574" s="56">
        <v>8514134.65</v>
      </c>
      <c r="U574" s="56">
        <v>0</v>
      </c>
      <c r="V574" s="56">
        <v>0</v>
      </c>
      <c r="W574" s="56">
        <v>4746111.21</v>
      </c>
      <c r="X574" s="56">
        <v>12239134.65</v>
      </c>
      <c r="Y574" s="55" t="s">
        <v>272</v>
      </c>
    </row>
    <row r="575" spans="1:25">
      <c r="A575" s="55" t="s">
        <v>1119</v>
      </c>
      <c r="B575" s="56">
        <v>4</v>
      </c>
      <c r="C575" s="56">
        <v>0</v>
      </c>
      <c r="D575" s="56">
        <v>0</v>
      </c>
      <c r="F575" s="56">
        <v>321166.9843</v>
      </c>
      <c r="G575" s="56">
        <v>1006668</v>
      </c>
      <c r="H575" s="56">
        <v>0</v>
      </c>
      <c r="I575" s="56">
        <v>321166.9843</v>
      </c>
      <c r="J575" s="56">
        <v>0</v>
      </c>
      <c r="K575" s="56">
        <v>3</v>
      </c>
      <c r="L575" s="56">
        <v>0</v>
      </c>
      <c r="M575" s="56">
        <v>1</v>
      </c>
      <c r="N575" s="56">
        <v>0</v>
      </c>
      <c r="O575" s="56">
        <v>1</v>
      </c>
      <c r="P575" s="56">
        <v>1</v>
      </c>
      <c r="Q575" s="56">
        <v>1006668</v>
      </c>
      <c r="R575" s="56">
        <v>1281996</v>
      </c>
      <c r="S575" s="56">
        <v>8</v>
      </c>
      <c r="T575" s="56">
        <v>1006668</v>
      </c>
      <c r="U575" s="56">
        <v>0</v>
      </c>
      <c r="V575" s="56">
        <v>0</v>
      </c>
      <c r="W575" s="56">
        <v>321166.98</v>
      </c>
      <c r="X575" s="56">
        <v>1006668</v>
      </c>
      <c r="Y575" s="55" t="s">
        <v>272</v>
      </c>
    </row>
    <row r="576" spans="1:25">
      <c r="A576" s="55" t="s">
        <v>1120</v>
      </c>
      <c r="B576" s="56">
        <v>11</v>
      </c>
      <c r="C576" s="56">
        <v>0</v>
      </c>
      <c r="D576" s="56">
        <v>0</v>
      </c>
      <c r="E576" s="56">
        <v>44700000</v>
      </c>
      <c r="F576" s="56">
        <v>12864838.85</v>
      </c>
      <c r="G576" s="56">
        <v>1143136.15</v>
      </c>
      <c r="H576" s="56">
        <v>44700000</v>
      </c>
      <c r="I576" s="56">
        <v>665894.3723950001</v>
      </c>
      <c r="J576" s="56">
        <v>23807062.89</v>
      </c>
      <c r="K576" s="56">
        <v>26.75</v>
      </c>
      <c r="L576" s="56">
        <v>0</v>
      </c>
      <c r="N576" s="56">
        <v>0</v>
      </c>
      <c r="O576" s="56">
        <v>1</v>
      </c>
      <c r="P576" s="56">
        <v>1</v>
      </c>
      <c r="Q576" s="56">
        <v>24950199.04</v>
      </c>
      <c r="R576" s="56">
        <v>970865877.09</v>
      </c>
      <c r="S576" s="56">
        <v>131</v>
      </c>
      <c r="T576" s="56">
        <v>654055242.64</v>
      </c>
      <c r="U576" s="56">
        <v>0</v>
      </c>
      <c r="V576" s="56">
        <v>0</v>
      </c>
      <c r="W576" s="56">
        <v>14721086.37</v>
      </c>
      <c r="X576" s="56">
        <v>45843136.15</v>
      </c>
      <c r="Y576" s="55" t="s">
        <v>272</v>
      </c>
    </row>
    <row r="577" spans="1:25">
      <c r="A577" s="55" t="s">
        <v>1121</v>
      </c>
      <c r="B577" s="56">
        <v>8</v>
      </c>
      <c r="C577" s="56">
        <v>0</v>
      </c>
      <c r="D577" s="56">
        <v>0</v>
      </c>
      <c r="E577" s="56">
        <v>345680000</v>
      </c>
      <c r="F577" s="56">
        <v>9351805.418</v>
      </c>
      <c r="G577" s="56">
        <v>0</v>
      </c>
      <c r="H577" s="56">
        <v>699108000</v>
      </c>
      <c r="I577" s="56">
        <v>0</v>
      </c>
      <c r="J577" s="56">
        <v>47791877.6</v>
      </c>
      <c r="K577" s="56">
        <v>77.59999999999999</v>
      </c>
      <c r="N577" s="56">
        <v>0</v>
      </c>
      <c r="O577" s="56">
        <v>1</v>
      </c>
      <c r="P577" s="56">
        <v>1</v>
      </c>
      <c r="Q577" s="56">
        <v>47791877.6</v>
      </c>
      <c r="R577" s="56">
        <v>736358000</v>
      </c>
      <c r="S577" s="56">
        <v>181</v>
      </c>
      <c r="T577" s="56">
        <v>47791877.6</v>
      </c>
      <c r="U577" s="56">
        <v>0</v>
      </c>
      <c r="V577" s="56">
        <v>0</v>
      </c>
      <c r="W577" s="56">
        <v>2389593.88</v>
      </c>
      <c r="X577" s="56">
        <v>699108000</v>
      </c>
      <c r="Y577" s="55" t="s">
        <v>272</v>
      </c>
    </row>
    <row r="578" spans="1:25">
      <c r="A578" s="55" t="s">
        <v>1122</v>
      </c>
      <c r="B578" s="56">
        <v>18</v>
      </c>
      <c r="C578" s="56">
        <v>0</v>
      </c>
      <c r="D578" s="56">
        <v>0</v>
      </c>
      <c r="E578" s="56">
        <v>256280000</v>
      </c>
      <c r="F578" s="56">
        <v>4553290.572</v>
      </c>
      <c r="G578" s="56">
        <v>0</v>
      </c>
      <c r="H578" s="56">
        <v>594510000</v>
      </c>
      <c r="I578" s="56">
        <v>0</v>
      </c>
      <c r="J578" s="56">
        <v>341345691.11</v>
      </c>
      <c r="K578" s="56">
        <v>114.89</v>
      </c>
      <c r="L578" s="56">
        <v>0</v>
      </c>
      <c r="M578" s="56">
        <v>1</v>
      </c>
      <c r="N578" s="56">
        <v>0</v>
      </c>
      <c r="O578" s="56">
        <v>2</v>
      </c>
      <c r="P578" s="56">
        <v>2</v>
      </c>
      <c r="Q578" s="56">
        <v>341345691.11</v>
      </c>
      <c r="R578" s="56">
        <v>5092075000</v>
      </c>
      <c r="S578" s="56">
        <v>221</v>
      </c>
      <c r="T578" s="56">
        <v>341345691.11</v>
      </c>
      <c r="U578" s="56">
        <v>2</v>
      </c>
      <c r="V578" s="56">
        <v>0</v>
      </c>
      <c r="W578" s="56">
        <v>17067284.56</v>
      </c>
      <c r="X578" s="56">
        <v>594510000</v>
      </c>
      <c r="Y578" s="55" t="s">
        <v>272</v>
      </c>
    </row>
    <row r="579" spans="1:25">
      <c r="A579" s="55" t="s">
        <v>1123</v>
      </c>
      <c r="B579" s="56">
        <v>7</v>
      </c>
      <c r="C579" s="56">
        <v>0</v>
      </c>
      <c r="D579" s="56">
        <v>0</v>
      </c>
      <c r="E579" s="56">
        <v>372500000</v>
      </c>
      <c r="F579" s="56">
        <v>10077376.53</v>
      </c>
      <c r="G579" s="56">
        <v>0</v>
      </c>
      <c r="H579" s="56">
        <v>654110000</v>
      </c>
      <c r="I579" s="56">
        <v>0</v>
      </c>
      <c r="J579" s="56">
        <v>8877760.59</v>
      </c>
      <c r="K579" s="56">
        <v>16.8</v>
      </c>
      <c r="L579" s="56">
        <v>0</v>
      </c>
      <c r="M579" s="56">
        <v>1</v>
      </c>
      <c r="N579" s="56">
        <v>0</v>
      </c>
      <c r="O579" s="56">
        <v>1</v>
      </c>
      <c r="P579" s="56">
        <v>1</v>
      </c>
      <c r="Q579" s="56">
        <v>8877760.59</v>
      </c>
      <c r="R579" s="56">
        <v>654110000</v>
      </c>
      <c r="S579" s="56">
        <v>28</v>
      </c>
      <c r="T579" s="56">
        <v>8877760.59</v>
      </c>
      <c r="U579" s="56">
        <v>0</v>
      </c>
      <c r="V579" s="56">
        <v>0</v>
      </c>
      <c r="W579" s="56">
        <v>443888.03</v>
      </c>
      <c r="X579" s="56">
        <v>654110000</v>
      </c>
      <c r="Y579" s="55" t="s">
        <v>272</v>
      </c>
    </row>
    <row r="580" spans="1:25">
      <c r="A580" s="55" t="s">
        <v>1124</v>
      </c>
      <c r="B580" s="56">
        <v>35</v>
      </c>
      <c r="C580" s="56">
        <v>0</v>
      </c>
      <c r="D580" s="56">
        <v>0</v>
      </c>
      <c r="F580" s="56">
        <v>1314873.627</v>
      </c>
      <c r="G580" s="56">
        <v>7122441.54</v>
      </c>
      <c r="H580" s="56">
        <v>0</v>
      </c>
      <c r="I580" s="56">
        <v>1881656.7776279</v>
      </c>
      <c r="J580" s="56">
        <v>0</v>
      </c>
      <c r="K580" s="56">
        <v>3.83</v>
      </c>
      <c r="L580" s="56">
        <v>0</v>
      </c>
      <c r="M580" s="56">
        <v>1</v>
      </c>
      <c r="N580" s="56">
        <v>0</v>
      </c>
      <c r="O580" s="56">
        <v>1</v>
      </c>
      <c r="P580" s="56">
        <v>1</v>
      </c>
      <c r="Q580" s="56">
        <v>7122441.54</v>
      </c>
      <c r="R580" s="56">
        <v>8940989.359999999</v>
      </c>
      <c r="S580" s="56">
        <v>31</v>
      </c>
      <c r="T580" s="56">
        <v>7122441.54</v>
      </c>
      <c r="U580" s="56">
        <v>0</v>
      </c>
      <c r="V580" s="56">
        <v>0</v>
      </c>
      <c r="W580" s="56">
        <v>1881656.78</v>
      </c>
      <c r="X580" s="56">
        <v>7122441.54</v>
      </c>
      <c r="Y580" s="55" t="s">
        <v>272</v>
      </c>
    </row>
    <row r="581" spans="1:25">
      <c r="A581" s="55" t="s">
        <v>1125</v>
      </c>
      <c r="B581" s="56">
        <v>2</v>
      </c>
      <c r="C581" s="56">
        <v>0</v>
      </c>
      <c r="D581" s="56">
        <v>0</v>
      </c>
      <c r="E581" s="56">
        <v>14900000</v>
      </c>
      <c r="F581" s="56">
        <v>5405911.905</v>
      </c>
      <c r="G581" s="56">
        <v>0</v>
      </c>
      <c r="H581" s="56">
        <v>14900000</v>
      </c>
      <c r="I581" s="56">
        <v>0</v>
      </c>
      <c r="J581" s="56">
        <v>5132164.8</v>
      </c>
      <c r="K581" s="56">
        <v>17</v>
      </c>
      <c r="N581" s="56">
        <v>0</v>
      </c>
      <c r="O581" s="56">
        <v>1</v>
      </c>
      <c r="P581" s="56">
        <v>1</v>
      </c>
      <c r="Q581" s="56">
        <v>5132164.8</v>
      </c>
      <c r="R581" s="56">
        <v>562714218</v>
      </c>
      <c r="S581" s="56">
        <v>26</v>
      </c>
      <c r="T581" s="56">
        <v>538239960.9</v>
      </c>
      <c r="U581" s="56">
        <v>0</v>
      </c>
      <c r="V581" s="56">
        <v>0</v>
      </c>
      <c r="W581" s="56">
        <v>5662520.15</v>
      </c>
      <c r="X581" s="56">
        <v>14900000</v>
      </c>
      <c r="Y581" s="55" t="s">
        <v>272</v>
      </c>
    </row>
    <row r="582" spans="1:25">
      <c r="A582" s="55" t="s">
        <v>1126</v>
      </c>
      <c r="B582" s="56">
        <v>21</v>
      </c>
      <c r="C582" s="56">
        <v>0</v>
      </c>
      <c r="D582" s="56">
        <v>0</v>
      </c>
      <c r="F582" s="56">
        <v>4844576.22</v>
      </c>
      <c r="G582" s="56">
        <v>16230256.11</v>
      </c>
      <c r="H582" s="56">
        <v>0</v>
      </c>
      <c r="I582" s="56">
        <v>3307066.17437</v>
      </c>
      <c r="J582" s="56">
        <v>0</v>
      </c>
      <c r="K582" s="56">
        <v>15.71</v>
      </c>
      <c r="L582" s="56">
        <v>0</v>
      </c>
      <c r="M582" s="56">
        <v>1</v>
      </c>
      <c r="N582" s="56">
        <v>108</v>
      </c>
      <c r="O582" s="56">
        <v>3</v>
      </c>
      <c r="P582" s="56">
        <v>3</v>
      </c>
      <c r="Q582" s="56">
        <v>17873802.38</v>
      </c>
      <c r="R582" s="56">
        <v>752040723.8199999</v>
      </c>
      <c r="S582" s="56">
        <v>85</v>
      </c>
      <c r="T582" s="56">
        <v>357946962.6800001</v>
      </c>
      <c r="U582" s="56">
        <v>1</v>
      </c>
      <c r="V582" s="56">
        <v>0</v>
      </c>
      <c r="W582" s="56">
        <v>8816702.279999999</v>
      </c>
      <c r="X582" s="56">
        <v>16230256.11</v>
      </c>
      <c r="Y582" s="55" t="s">
        <v>272</v>
      </c>
    </row>
    <row r="583" spans="1:25">
      <c r="A583" s="55" t="s">
        <v>1127</v>
      </c>
      <c r="B583" s="56">
        <v>1</v>
      </c>
      <c r="C583" s="56">
        <v>0</v>
      </c>
      <c r="D583" s="56">
        <v>0</v>
      </c>
      <c r="E583" s="56">
        <v>37250000</v>
      </c>
      <c r="F583" s="56">
        <v>803892.6176999999</v>
      </c>
      <c r="G583" s="56">
        <v>0</v>
      </c>
      <c r="H583" s="56">
        <v>37250000</v>
      </c>
      <c r="I583" s="56">
        <v>0</v>
      </c>
      <c r="J583" s="56">
        <v>3466320</v>
      </c>
      <c r="K583" s="56">
        <v>39</v>
      </c>
      <c r="N583" s="56">
        <v>0</v>
      </c>
      <c r="O583" s="56">
        <v>1</v>
      </c>
      <c r="P583" s="56">
        <v>1</v>
      </c>
      <c r="Q583" s="56">
        <v>3466320</v>
      </c>
      <c r="R583" s="56">
        <v>37250000</v>
      </c>
      <c r="S583" s="56">
        <v>39</v>
      </c>
      <c r="T583" s="56">
        <v>3466320</v>
      </c>
      <c r="U583" s="56">
        <v>0</v>
      </c>
      <c r="V583" s="56">
        <v>0</v>
      </c>
      <c r="W583" s="56">
        <v>173316</v>
      </c>
      <c r="X583" s="56">
        <v>37250000</v>
      </c>
      <c r="Y583" s="55" t="s">
        <v>272</v>
      </c>
    </row>
    <row r="584" spans="1:25">
      <c r="A584" s="55" t="s">
        <v>1128</v>
      </c>
      <c r="B584" s="56">
        <v>36</v>
      </c>
      <c r="C584" s="56">
        <v>0</v>
      </c>
      <c r="D584" s="56">
        <v>0</v>
      </c>
      <c r="F584" s="56">
        <v>1524846.347</v>
      </c>
      <c r="G584" s="56">
        <v>2075391.52</v>
      </c>
      <c r="H584" s="56">
        <v>0</v>
      </c>
      <c r="I584" s="56">
        <v>1740452.753323</v>
      </c>
      <c r="J584" s="56">
        <v>0</v>
      </c>
      <c r="K584" s="56">
        <v>2.67</v>
      </c>
      <c r="L584" s="56">
        <v>0</v>
      </c>
      <c r="M584" s="56">
        <v>1</v>
      </c>
      <c r="N584" s="56">
        <v>0</v>
      </c>
      <c r="O584" s="56">
        <v>1</v>
      </c>
      <c r="P584" s="56">
        <v>1</v>
      </c>
      <c r="Q584" s="56">
        <v>2075391.52</v>
      </c>
      <c r="R584" s="56">
        <v>2810092.32</v>
      </c>
      <c r="S584" s="56">
        <v>38</v>
      </c>
      <c r="T584" s="56">
        <v>2075391.52</v>
      </c>
      <c r="U584" s="56">
        <v>0</v>
      </c>
      <c r="V584" s="56">
        <v>0</v>
      </c>
      <c r="W584" s="56">
        <v>1740452.75</v>
      </c>
      <c r="X584" s="56">
        <v>2075391.52</v>
      </c>
      <c r="Y584" s="55" t="s">
        <v>272</v>
      </c>
    </row>
    <row r="585" spans="1:25">
      <c r="A585" s="55" t="s">
        <v>1129</v>
      </c>
      <c r="B585" s="56">
        <v>2</v>
      </c>
      <c r="C585" s="56">
        <v>0</v>
      </c>
      <c r="D585" s="56">
        <v>0</v>
      </c>
      <c r="F585" s="56">
        <v>42057897.16</v>
      </c>
      <c r="G585" s="56">
        <v>0</v>
      </c>
      <c r="H585" s="56">
        <v>0</v>
      </c>
      <c r="I585" s="56">
        <v>0</v>
      </c>
      <c r="J585" s="56">
        <v>0</v>
      </c>
      <c r="K585" s="56">
        <v>66</v>
      </c>
      <c r="L585" s="56">
        <v>0</v>
      </c>
      <c r="N585" s="56">
        <v>0</v>
      </c>
      <c r="O585" s="56">
        <v>1</v>
      </c>
      <c r="P585" s="56">
        <v>1</v>
      </c>
      <c r="Q585" s="56">
        <v>0</v>
      </c>
      <c r="R585" s="56">
        <v>0</v>
      </c>
      <c r="S585" s="56">
        <v>78</v>
      </c>
      <c r="T585" s="56">
        <v>0</v>
      </c>
      <c r="U585" s="56">
        <v>0</v>
      </c>
      <c r="V585" s="56">
        <v>0</v>
      </c>
      <c r="W585" s="56">
        <v>42057897.16</v>
      </c>
      <c r="X585" s="56">
        <v>0</v>
      </c>
      <c r="Y585" s="55" t="s">
        <v>272</v>
      </c>
    </row>
    <row r="586" spans="1:25">
      <c r="A586" s="55" t="s">
        <v>1130</v>
      </c>
      <c r="B586" s="56">
        <v>5</v>
      </c>
      <c r="C586" s="56">
        <v>0</v>
      </c>
      <c r="D586" s="56">
        <v>0</v>
      </c>
      <c r="F586" s="56">
        <v>64877083.33</v>
      </c>
      <c r="G586" s="56">
        <v>0</v>
      </c>
      <c r="H586" s="56">
        <v>0</v>
      </c>
      <c r="I586" s="56">
        <v>0</v>
      </c>
      <c r="J586" s="56">
        <v>0</v>
      </c>
      <c r="K586" s="56">
        <v>29</v>
      </c>
      <c r="M586" s="56">
        <v>1</v>
      </c>
      <c r="N586" s="56">
        <v>0</v>
      </c>
      <c r="O586" s="56">
        <v>1</v>
      </c>
      <c r="P586" s="56">
        <v>1</v>
      </c>
      <c r="Q586" s="56">
        <v>0</v>
      </c>
      <c r="R586" s="56">
        <v>13128488164.1</v>
      </c>
      <c r="S586" s="56">
        <v>33</v>
      </c>
      <c r="T586" s="56">
        <v>5259800377</v>
      </c>
      <c r="U586" s="56">
        <v>0</v>
      </c>
      <c r="V586" s="56">
        <v>1</v>
      </c>
      <c r="W586" s="56">
        <v>64877083.33</v>
      </c>
      <c r="X586" s="56">
        <v>0</v>
      </c>
      <c r="Y586" s="55" t="s">
        <v>563</v>
      </c>
    </row>
    <row r="587" spans="1:25">
      <c r="A587" s="55" t="s">
        <v>1131</v>
      </c>
      <c r="B587" s="56">
        <v>4</v>
      </c>
      <c r="C587" s="56">
        <v>0</v>
      </c>
      <c r="D587" s="56">
        <v>0</v>
      </c>
      <c r="F587" s="56">
        <v>17433081.56</v>
      </c>
      <c r="G587" s="56">
        <v>11586556.28</v>
      </c>
      <c r="H587" s="56">
        <v>0</v>
      </c>
      <c r="I587" s="56">
        <v>2455408.2293</v>
      </c>
      <c r="J587" s="56">
        <v>0</v>
      </c>
      <c r="K587" s="56">
        <v>6.75</v>
      </c>
      <c r="L587" s="56">
        <v>21</v>
      </c>
      <c r="N587" s="56">
        <v>0</v>
      </c>
      <c r="O587" s="56">
        <v>2</v>
      </c>
      <c r="P587" s="56">
        <v>2</v>
      </c>
      <c r="Q587" s="56">
        <v>11586556.28</v>
      </c>
      <c r="R587" s="56">
        <v>595970694.65</v>
      </c>
      <c r="S587" s="56">
        <v>10</v>
      </c>
      <c r="T587" s="56">
        <v>573861070.3</v>
      </c>
      <c r="U587" s="56">
        <v>1</v>
      </c>
      <c r="V587" s="56">
        <v>0</v>
      </c>
      <c r="W587" s="56">
        <v>23219980.43</v>
      </c>
      <c r="X587" s="56">
        <v>11586556.28</v>
      </c>
      <c r="Y587" s="55" t="s">
        <v>272</v>
      </c>
    </row>
    <row r="588" spans="1:25">
      <c r="A588" s="55" t="s">
        <v>1132</v>
      </c>
      <c r="B588" s="56">
        <v>6</v>
      </c>
      <c r="C588" s="56">
        <v>0</v>
      </c>
      <c r="D588" s="56">
        <v>0</v>
      </c>
      <c r="E588" s="56">
        <v>298000000</v>
      </c>
      <c r="F588" s="56">
        <v>75959869.59999999</v>
      </c>
      <c r="G588" s="56">
        <v>0</v>
      </c>
      <c r="H588" s="56">
        <v>447000000</v>
      </c>
      <c r="I588" s="56">
        <v>0</v>
      </c>
      <c r="J588" s="56">
        <v>0</v>
      </c>
      <c r="K588" s="56">
        <v>25.33</v>
      </c>
      <c r="N588" s="56">
        <v>0</v>
      </c>
      <c r="O588" s="56">
        <v>1</v>
      </c>
      <c r="P588" s="56">
        <v>1</v>
      </c>
      <c r="Q588" s="56">
        <v>0</v>
      </c>
      <c r="R588" s="56">
        <v>14806752923</v>
      </c>
      <c r="S588" s="56">
        <v>143</v>
      </c>
      <c r="T588" s="56">
        <v>4915027153</v>
      </c>
      <c r="U588" s="56">
        <v>0</v>
      </c>
      <c r="V588" s="56">
        <v>0</v>
      </c>
      <c r="W588" s="56">
        <v>75959869.59999999</v>
      </c>
      <c r="X588" s="56">
        <v>447000000</v>
      </c>
      <c r="Y588" s="55" t="s">
        <v>272</v>
      </c>
    </row>
  </sheetData>
  <autoFilter ref="A1:Y588"/>
  <pageMargins left="0.7" right="0.7" top="0.75" bottom="0.75" header="0.3" footer="0.3"/>
  <pageSetup paperSize="9" fitToHeight="0" orientation="landscape"/>
</worksheet>
</file>

<file path=xl/worksheets/sheet12.xml><?xml version="1.0" encoding="utf-8"?>
<worksheet xmlns="http://schemas.openxmlformats.org/spreadsheetml/2006/main" xmlns:r="http://schemas.openxmlformats.org/officeDocument/2006/relationships">
  <sheetPr>
    <tabColor rgb="FFFDAF27"/>
    <pageSetUpPr fitToPage="1"/>
  </sheetPr>
  <dimension ref="A1:Z588"/>
  <sheetViews>
    <sheetView zoomScale="85" zoomScaleNormal="85"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9.7109375" style="55" customWidth="1"/>
    <col min="2" max="2" width="22.7109375" style="55" customWidth="1"/>
    <col min="3" max="3" width="20.7109375" style="55" customWidth="1"/>
    <col min="4" max="5" width="24.7109375" style="55" customWidth="1"/>
    <col min="6" max="6" width="20.7109375" style="55" customWidth="1"/>
    <col min="7" max="9" width="21.7109375" style="56" customWidth="1"/>
    <col min="10" max="10" width="17.5703125" style="56" customWidth="1"/>
    <col min="11" max="11" width="20.140625" style="56" customWidth="1"/>
    <col min="12" max="12" width="10.7109375" style="56" customWidth="1"/>
    <col min="13" max="13" width="12.5703125" style="56" customWidth="1"/>
    <col min="14" max="14" width="10.28515625" style="56" customWidth="1"/>
    <col min="15" max="15" width="15.140625" style="56" customWidth="1"/>
    <col min="16" max="16" width="10.28515625" style="56" customWidth="1"/>
    <col min="17" max="17" width="11.42578125" style="56" customWidth="1"/>
    <col min="18" max="19" width="10.28515625" style="56" customWidth="1"/>
    <col min="20" max="20" width="11.7109375" style="55" customWidth="1"/>
    <col min="21" max="21" width="10.7109375" style="55" customWidth="1"/>
    <col min="22" max="22" width="14.7109375" style="55" customWidth="1"/>
    <col min="23" max="23" width="18.7109375" style="55" customWidth="1"/>
    <col min="24" max="25" width="22.7109375" style="55" customWidth="1"/>
    <col min="26" max="26" width="20.7109375" style="55" customWidth="1"/>
  </cols>
  <sheetData>
    <row r="1" spans="1:26" ht="30" customHeight="1">
      <c r="A1" s="57" t="s">
        <v>519</v>
      </c>
      <c r="B1" s="57" t="s">
        <v>543</v>
      </c>
      <c r="C1" s="57" t="s">
        <v>407</v>
      </c>
      <c r="D1" s="57" t="s">
        <v>1133</v>
      </c>
      <c r="E1" s="57" t="s">
        <v>1134</v>
      </c>
      <c r="F1" s="57" t="s">
        <v>410</v>
      </c>
      <c r="G1" s="57" t="s">
        <v>533</v>
      </c>
      <c r="H1" s="57" t="s">
        <v>534</v>
      </c>
      <c r="I1" s="57" t="s">
        <v>532</v>
      </c>
      <c r="J1" s="57" t="s">
        <v>520</v>
      </c>
      <c r="K1" s="57" t="s">
        <v>539</v>
      </c>
      <c r="L1" s="57" t="s">
        <v>542</v>
      </c>
      <c r="M1" s="57" t="s">
        <v>541</v>
      </c>
      <c r="N1" s="57" t="s">
        <v>538</v>
      </c>
      <c r="O1" s="57" t="s">
        <v>537</v>
      </c>
      <c r="P1" s="57" t="s">
        <v>1135</v>
      </c>
      <c r="Q1" s="57" t="s">
        <v>396</v>
      </c>
      <c r="R1" s="57" t="s">
        <v>400</v>
      </c>
      <c r="S1" s="57" t="s">
        <v>404</v>
      </c>
      <c r="T1" s="57" t="s">
        <v>1136</v>
      </c>
      <c r="U1" s="57" t="s">
        <v>1137</v>
      </c>
      <c r="V1" s="57" t="s">
        <v>1138</v>
      </c>
      <c r="W1" s="57" t="s">
        <v>240</v>
      </c>
      <c r="X1" s="57" t="s">
        <v>1139</v>
      </c>
      <c r="Y1" s="57" t="s">
        <v>1140</v>
      </c>
      <c r="Z1" s="57" t="s">
        <v>1141</v>
      </c>
    </row>
    <row r="2" spans="1:26">
      <c r="A2" s="55" t="s">
        <v>544</v>
      </c>
      <c r="B2" s="55" t="s">
        <v>272</v>
      </c>
      <c r="C2" s="55" t="s">
        <v>1142</v>
      </c>
      <c r="D2" s="55" t="s">
        <v>1143</v>
      </c>
      <c r="E2" s="55" t="s">
        <v>1143</v>
      </c>
      <c r="F2" s="55" t="s">
        <v>73</v>
      </c>
      <c r="G2" s="56">
        <v>1</v>
      </c>
      <c r="H2" s="56">
        <v>1</v>
      </c>
      <c r="I2" s="56">
        <v>0</v>
      </c>
      <c r="J2" s="56">
        <v>16</v>
      </c>
      <c r="K2" s="56">
        <v>0</v>
      </c>
      <c r="L2" s="56">
        <v>13899594.36</v>
      </c>
      <c r="M2" s="56">
        <v>2276662.58</v>
      </c>
      <c r="N2" s="56">
        <v>9273610.4</v>
      </c>
      <c r="O2" s="56">
        <v>103</v>
      </c>
      <c r="P2" s="56">
        <v>0</v>
      </c>
      <c r="Q2" s="56">
        <v>0</v>
      </c>
      <c r="R2" s="56">
        <v>0</v>
      </c>
      <c r="S2" s="56">
        <v>0</v>
      </c>
      <c r="T2" s="55" t="s">
        <v>1144</v>
      </c>
      <c r="U2" s="55" t="s">
        <v>1145</v>
      </c>
      <c r="V2" s="55" t="s">
        <v>1146</v>
      </c>
      <c r="W2" s="55" t="s">
        <v>1147</v>
      </c>
      <c r="X2" s="55" t="s">
        <v>1148</v>
      </c>
      <c r="Y2" s="55" t="s">
        <v>1149</v>
      </c>
      <c r="Z2" s="55" t="s">
        <v>1150</v>
      </c>
    </row>
    <row r="3" spans="1:26">
      <c r="A3" s="55" t="s">
        <v>545</v>
      </c>
      <c r="B3" s="55" t="s">
        <v>546</v>
      </c>
      <c r="C3" s="55" t="s">
        <v>1151</v>
      </c>
      <c r="D3" s="55" t="s">
        <v>87</v>
      </c>
      <c r="E3" s="55" t="s">
        <v>87</v>
      </c>
      <c r="F3" s="55" t="s">
        <v>75</v>
      </c>
      <c r="G3" s="56">
        <v>5</v>
      </c>
      <c r="H3" s="56">
        <v>5</v>
      </c>
      <c r="I3" s="56">
        <v>1</v>
      </c>
      <c r="J3" s="56">
        <v>62</v>
      </c>
      <c r="K3" s="56">
        <v>0</v>
      </c>
      <c r="L3" s="56">
        <v>22190947.24</v>
      </c>
      <c r="M3" s="56">
        <v>24663044.24</v>
      </c>
      <c r="N3" s="56">
        <v>35756492.56</v>
      </c>
      <c r="O3" s="56">
        <v>132</v>
      </c>
      <c r="P3" s="56">
        <v>0</v>
      </c>
      <c r="Q3" s="56">
        <v>0</v>
      </c>
      <c r="R3" s="56">
        <v>1</v>
      </c>
      <c r="S3" s="56">
        <v>1</v>
      </c>
      <c r="T3" s="55" t="s">
        <v>1152</v>
      </c>
      <c r="U3" s="55" t="s">
        <v>1145</v>
      </c>
      <c r="V3" s="55" t="s">
        <v>1153</v>
      </c>
      <c r="W3" s="55" t="s">
        <v>1147</v>
      </c>
      <c r="X3" s="55" t="s">
        <v>1154</v>
      </c>
      <c r="Y3" s="55" t="s">
        <v>1155</v>
      </c>
      <c r="Z3" s="55" t="s">
        <v>1156</v>
      </c>
    </row>
    <row r="4" spans="1:26">
      <c r="A4" s="55" t="s">
        <v>547</v>
      </c>
      <c r="B4" s="55" t="s">
        <v>272</v>
      </c>
      <c r="C4" s="55" t="s">
        <v>1142</v>
      </c>
      <c r="D4" s="55" t="s">
        <v>1143</v>
      </c>
      <c r="E4" s="55" t="s">
        <v>1143</v>
      </c>
      <c r="F4" s="55" t="s">
        <v>73</v>
      </c>
      <c r="G4" s="56">
        <v>1</v>
      </c>
      <c r="H4" s="56">
        <v>1</v>
      </c>
      <c r="I4" s="56">
        <v>0</v>
      </c>
      <c r="J4" s="56">
        <v>9</v>
      </c>
      <c r="K4" s="56">
        <v>0</v>
      </c>
      <c r="L4" s="56">
        <v>1644000</v>
      </c>
      <c r="M4" s="56">
        <v>831427.71</v>
      </c>
      <c r="N4" s="56">
        <v>1644000</v>
      </c>
      <c r="O4" s="56">
        <v>32</v>
      </c>
      <c r="P4" s="56">
        <v>0</v>
      </c>
      <c r="Q4" s="56">
        <v>0</v>
      </c>
      <c r="R4" s="56">
        <v>0</v>
      </c>
      <c r="S4" s="56">
        <v>0</v>
      </c>
      <c r="T4" s="55" t="s">
        <v>1157</v>
      </c>
      <c r="U4" s="55" t="s">
        <v>1145</v>
      </c>
      <c r="V4" s="55" t="s">
        <v>1146</v>
      </c>
      <c r="W4" s="55" t="s">
        <v>1158</v>
      </c>
      <c r="X4" s="55" t="s">
        <v>1159</v>
      </c>
      <c r="Y4" s="55" t="s">
        <v>1160</v>
      </c>
      <c r="Z4" s="55" t="s">
        <v>1161</v>
      </c>
    </row>
    <row r="5" spans="1:26">
      <c r="A5" s="55" t="s">
        <v>548</v>
      </c>
      <c r="B5" s="55" t="s">
        <v>272</v>
      </c>
      <c r="C5" s="55" t="s">
        <v>1142</v>
      </c>
      <c r="D5" s="55" t="s">
        <v>1143</v>
      </c>
      <c r="E5" s="55" t="s">
        <v>1143</v>
      </c>
      <c r="F5" s="55" t="s">
        <v>73</v>
      </c>
      <c r="G5" s="56">
        <v>1</v>
      </c>
      <c r="H5" s="56">
        <v>1</v>
      </c>
      <c r="I5" s="56">
        <v>0</v>
      </c>
      <c r="J5" s="56">
        <v>2</v>
      </c>
      <c r="K5" s="56">
        <v>0</v>
      </c>
      <c r="L5" s="56">
        <v>23840000</v>
      </c>
      <c r="M5" s="56">
        <v>13921.56</v>
      </c>
      <c r="N5" s="56">
        <v>278431.23</v>
      </c>
      <c r="O5" s="56">
        <v>14</v>
      </c>
      <c r="P5" s="56">
        <v>0</v>
      </c>
      <c r="Q5" s="56">
        <v>0</v>
      </c>
      <c r="R5" s="56">
        <v>0</v>
      </c>
      <c r="S5" s="56">
        <v>0</v>
      </c>
      <c r="T5" s="55" t="s">
        <v>1162</v>
      </c>
      <c r="U5" s="55" t="s">
        <v>1145</v>
      </c>
      <c r="V5" s="55" t="s">
        <v>1153</v>
      </c>
      <c r="W5" s="55" t="s">
        <v>1147</v>
      </c>
      <c r="X5" s="55" t="s">
        <v>1163</v>
      </c>
      <c r="Y5" s="55" t="s">
        <v>1160</v>
      </c>
      <c r="Z5" s="55" t="s">
        <v>1164</v>
      </c>
    </row>
    <row r="6" spans="1:26">
      <c r="A6" s="55" t="s">
        <v>549</v>
      </c>
      <c r="B6" s="55" t="s">
        <v>272</v>
      </c>
      <c r="C6" s="55" t="s">
        <v>1142</v>
      </c>
      <c r="D6" s="55" t="s">
        <v>1143</v>
      </c>
      <c r="E6" s="55" t="s">
        <v>1143</v>
      </c>
      <c r="F6" s="55" t="s">
        <v>73</v>
      </c>
      <c r="G6" s="56">
        <v>1</v>
      </c>
      <c r="H6" s="56">
        <v>1</v>
      </c>
      <c r="I6" s="56">
        <v>0</v>
      </c>
      <c r="J6" s="56">
        <v>4</v>
      </c>
      <c r="K6" s="56">
        <v>0</v>
      </c>
      <c r="L6" s="56">
        <v>44700000</v>
      </c>
      <c r="M6" s="56">
        <v>1144934.58</v>
      </c>
      <c r="N6" s="56">
        <v>22898691.62</v>
      </c>
      <c r="O6" s="56">
        <v>60</v>
      </c>
      <c r="P6" s="56">
        <v>0</v>
      </c>
      <c r="Q6" s="56">
        <v>0</v>
      </c>
      <c r="R6" s="56">
        <v>0</v>
      </c>
      <c r="S6" s="56">
        <v>0</v>
      </c>
      <c r="T6" s="55" t="s">
        <v>1157</v>
      </c>
      <c r="U6" s="55" t="s">
        <v>1165</v>
      </c>
      <c r="V6" s="55" t="s">
        <v>1153</v>
      </c>
      <c r="W6" s="55" t="s">
        <v>1147</v>
      </c>
      <c r="X6" s="55" t="s">
        <v>1154</v>
      </c>
      <c r="Y6" s="55" t="s">
        <v>1155</v>
      </c>
      <c r="Z6" s="55" t="s">
        <v>1166</v>
      </c>
    </row>
    <row r="7" spans="1:26">
      <c r="A7" s="55" t="s">
        <v>550</v>
      </c>
      <c r="B7" s="55" t="s">
        <v>272</v>
      </c>
      <c r="C7" s="55" t="s">
        <v>1142</v>
      </c>
      <c r="D7" s="55" t="s">
        <v>1143</v>
      </c>
      <c r="E7" s="55" t="s">
        <v>1143</v>
      </c>
      <c r="F7" s="55" t="s">
        <v>73</v>
      </c>
      <c r="G7" s="56">
        <v>1</v>
      </c>
      <c r="H7" s="56">
        <v>1</v>
      </c>
      <c r="I7" s="56">
        <v>0</v>
      </c>
      <c r="J7" s="56">
        <v>1</v>
      </c>
      <c r="K7" s="56">
        <v>0</v>
      </c>
      <c r="L7" s="56">
        <v>29800000</v>
      </c>
      <c r="M7" s="56">
        <v>290</v>
      </c>
      <c r="N7" s="56">
        <v>5800</v>
      </c>
      <c r="O7" s="56">
        <v>83</v>
      </c>
      <c r="P7" s="56">
        <v>0</v>
      </c>
      <c r="Q7" s="56">
        <v>0</v>
      </c>
      <c r="R7" s="56">
        <v>0</v>
      </c>
      <c r="S7" s="56">
        <v>0</v>
      </c>
      <c r="T7" s="55" t="s">
        <v>1167</v>
      </c>
      <c r="U7" s="55" t="s">
        <v>1145</v>
      </c>
      <c r="V7" s="55" t="s">
        <v>1153</v>
      </c>
      <c r="W7" s="55" t="s">
        <v>1168</v>
      </c>
      <c r="X7" s="55" t="s">
        <v>1159</v>
      </c>
      <c r="Y7" s="55" t="s">
        <v>1169</v>
      </c>
      <c r="Z7" s="55" t="s">
        <v>1170</v>
      </c>
    </row>
    <row r="8" spans="1:26">
      <c r="A8" s="55" t="s">
        <v>551</v>
      </c>
      <c r="B8" s="55" t="s">
        <v>272</v>
      </c>
      <c r="C8" s="55" t="s">
        <v>1142</v>
      </c>
      <c r="D8" s="55" t="s">
        <v>1143</v>
      </c>
      <c r="E8" s="55" t="s">
        <v>1143</v>
      </c>
      <c r="F8" s="55" t="s">
        <v>73</v>
      </c>
      <c r="G8" s="56">
        <v>1</v>
      </c>
      <c r="H8" s="56">
        <v>1</v>
      </c>
      <c r="I8" s="56">
        <v>0</v>
      </c>
      <c r="J8" s="56">
        <v>4</v>
      </c>
      <c r="K8" s="56">
        <v>0</v>
      </c>
      <c r="L8" s="56">
        <v>149000000</v>
      </c>
      <c r="M8" s="56">
        <v>307961.57</v>
      </c>
      <c r="N8" s="56">
        <v>6159231.33</v>
      </c>
      <c r="O8" s="56">
        <v>25</v>
      </c>
      <c r="P8" s="56">
        <v>0</v>
      </c>
      <c r="Q8" s="56">
        <v>0</v>
      </c>
      <c r="R8" s="56">
        <v>0</v>
      </c>
      <c r="S8" s="56">
        <v>0</v>
      </c>
      <c r="T8" s="55" t="s">
        <v>1157</v>
      </c>
      <c r="U8" s="55" t="s">
        <v>1165</v>
      </c>
      <c r="V8" s="55" t="s">
        <v>1153</v>
      </c>
      <c r="W8" s="55" t="s">
        <v>1147</v>
      </c>
      <c r="X8" s="55" t="s">
        <v>1154</v>
      </c>
      <c r="Y8" s="55" t="s">
        <v>1171</v>
      </c>
      <c r="Z8" s="55" t="s">
        <v>1172</v>
      </c>
    </row>
    <row r="9" spans="1:26">
      <c r="A9" s="55" t="s">
        <v>552</v>
      </c>
      <c r="B9" s="55" t="s">
        <v>272</v>
      </c>
      <c r="C9" s="55" t="s">
        <v>1142</v>
      </c>
      <c r="D9" s="55" t="s">
        <v>1143</v>
      </c>
      <c r="E9" s="55" t="s">
        <v>1143</v>
      </c>
      <c r="F9" s="55" t="s">
        <v>73</v>
      </c>
      <c r="G9" s="56">
        <v>1</v>
      </c>
      <c r="H9" s="56">
        <v>1</v>
      </c>
      <c r="I9" s="56">
        <v>0</v>
      </c>
      <c r="J9" s="56">
        <v>2</v>
      </c>
      <c r="K9" s="56">
        <v>0</v>
      </c>
      <c r="L9" s="56">
        <v>0</v>
      </c>
      <c r="M9" s="56">
        <v>53376326.07</v>
      </c>
      <c r="N9" s="56">
        <v>3629203068</v>
      </c>
      <c r="O9" s="56">
        <v>55</v>
      </c>
      <c r="P9" s="56">
        <v>1</v>
      </c>
      <c r="Q9" s="56">
        <v>0</v>
      </c>
      <c r="R9" s="56">
        <v>0</v>
      </c>
      <c r="S9" s="56">
        <v>0</v>
      </c>
      <c r="T9" s="55" t="s">
        <v>1173</v>
      </c>
      <c r="U9" s="55" t="s">
        <v>1145</v>
      </c>
      <c r="V9" s="55" t="s">
        <v>1146</v>
      </c>
      <c r="W9" s="55" t="s">
        <v>1158</v>
      </c>
      <c r="X9" s="55" t="s">
        <v>1174</v>
      </c>
      <c r="Y9" s="55" t="s">
        <v>1175</v>
      </c>
      <c r="Z9" s="55" t="s">
        <v>1172</v>
      </c>
    </row>
    <row r="10" spans="1:26">
      <c r="A10" s="55" t="s">
        <v>553</v>
      </c>
      <c r="B10" s="55" t="s">
        <v>272</v>
      </c>
      <c r="C10" s="55" t="s">
        <v>1142</v>
      </c>
      <c r="D10" s="55" t="s">
        <v>1143</v>
      </c>
      <c r="E10" s="55" t="s">
        <v>1143</v>
      </c>
      <c r="F10" s="55" t="s">
        <v>73</v>
      </c>
      <c r="G10" s="56">
        <v>1</v>
      </c>
      <c r="H10" s="56">
        <v>1</v>
      </c>
      <c r="I10" s="56">
        <v>0</v>
      </c>
      <c r="J10" s="56">
        <v>4</v>
      </c>
      <c r="K10" s="56">
        <v>0</v>
      </c>
      <c r="L10" s="56">
        <v>13410000</v>
      </c>
      <c r="M10" s="56">
        <v>5739548.51</v>
      </c>
      <c r="N10" s="56">
        <v>95807834.16</v>
      </c>
      <c r="O10" s="56">
        <v>56</v>
      </c>
      <c r="P10" s="56">
        <v>0</v>
      </c>
      <c r="Q10" s="56">
        <v>0</v>
      </c>
      <c r="R10" s="56">
        <v>0</v>
      </c>
      <c r="S10" s="56">
        <v>0</v>
      </c>
      <c r="T10" s="55" t="s">
        <v>1167</v>
      </c>
      <c r="U10" s="55" t="s">
        <v>1145</v>
      </c>
      <c r="V10" s="55" t="s">
        <v>1153</v>
      </c>
      <c r="W10" s="55" t="s">
        <v>1147</v>
      </c>
      <c r="X10" s="55" t="s">
        <v>1154</v>
      </c>
      <c r="Y10" s="55" t="s">
        <v>1176</v>
      </c>
      <c r="Z10" s="55" t="s">
        <v>1177</v>
      </c>
    </row>
    <row r="11" spans="1:26">
      <c r="A11" s="55" t="s">
        <v>554</v>
      </c>
      <c r="B11" s="55" t="s">
        <v>272</v>
      </c>
      <c r="C11" s="55" t="s">
        <v>1142</v>
      </c>
      <c r="D11" s="55" t="s">
        <v>1143</v>
      </c>
      <c r="E11" s="55" t="s">
        <v>1143</v>
      </c>
      <c r="F11" s="55" t="s">
        <v>73</v>
      </c>
      <c r="G11" s="56">
        <v>1</v>
      </c>
      <c r="H11" s="56">
        <v>1</v>
      </c>
      <c r="I11" s="56">
        <v>0</v>
      </c>
      <c r="J11" s="56">
        <v>67</v>
      </c>
      <c r="K11" s="56">
        <v>0</v>
      </c>
      <c r="L11" s="56">
        <v>2643690.05</v>
      </c>
      <c r="M11" s="56">
        <v>3139010.1</v>
      </c>
      <c r="N11" s="56">
        <v>2643690.05</v>
      </c>
      <c r="O11" s="56">
        <v>30</v>
      </c>
      <c r="P11" s="56">
        <v>0</v>
      </c>
      <c r="Q11" s="56">
        <v>0</v>
      </c>
      <c r="R11" s="56">
        <v>0</v>
      </c>
      <c r="S11" s="56">
        <v>0</v>
      </c>
      <c r="T11" s="55" t="s">
        <v>1162</v>
      </c>
      <c r="U11" s="55" t="s">
        <v>1145</v>
      </c>
      <c r="V11" s="55" t="s">
        <v>1153</v>
      </c>
      <c r="W11" s="55" t="s">
        <v>1147</v>
      </c>
      <c r="X11" s="55" t="s">
        <v>1154</v>
      </c>
      <c r="Y11" s="55" t="s">
        <v>1178</v>
      </c>
      <c r="Z11" s="55" t="s">
        <v>1179</v>
      </c>
    </row>
    <row r="12" spans="1:26">
      <c r="A12" s="55" t="s">
        <v>555</v>
      </c>
      <c r="B12" s="55" t="s">
        <v>272</v>
      </c>
      <c r="C12" s="55" t="s">
        <v>1142</v>
      </c>
      <c r="D12" s="55" t="s">
        <v>1143</v>
      </c>
      <c r="E12" s="55" t="s">
        <v>1143</v>
      </c>
      <c r="F12" s="55" t="s">
        <v>73</v>
      </c>
      <c r="G12" s="56">
        <v>1</v>
      </c>
      <c r="H12" s="56">
        <v>1</v>
      </c>
      <c r="I12" s="56">
        <v>0</v>
      </c>
      <c r="J12" s="56">
        <v>2</v>
      </c>
      <c r="K12" s="56">
        <v>0</v>
      </c>
      <c r="L12" s="56">
        <v>104300000</v>
      </c>
      <c r="M12" s="56">
        <v>580.97</v>
      </c>
      <c r="N12" s="56">
        <v>11619.3</v>
      </c>
      <c r="O12" s="56">
        <v>11</v>
      </c>
      <c r="P12" s="56">
        <v>0</v>
      </c>
      <c r="Q12" s="56">
        <v>0</v>
      </c>
      <c r="R12" s="56">
        <v>0</v>
      </c>
      <c r="S12" s="56">
        <v>0</v>
      </c>
      <c r="T12" s="55" t="s">
        <v>1157</v>
      </c>
      <c r="U12" s="55" t="s">
        <v>1145</v>
      </c>
      <c r="V12" s="55" t="s">
        <v>1153</v>
      </c>
      <c r="W12" s="55" t="s">
        <v>1180</v>
      </c>
      <c r="X12" s="55" t="s">
        <v>1159</v>
      </c>
      <c r="Y12" s="55" t="s">
        <v>1178</v>
      </c>
      <c r="Z12" s="55" t="s">
        <v>1166</v>
      </c>
    </row>
    <row r="13" spans="1:26">
      <c r="A13" s="55" t="s">
        <v>556</v>
      </c>
      <c r="B13" s="55" t="s">
        <v>272</v>
      </c>
      <c r="C13" s="55" t="s">
        <v>1142</v>
      </c>
      <c r="D13" s="55" t="s">
        <v>1143</v>
      </c>
      <c r="E13" s="55" t="s">
        <v>1143</v>
      </c>
      <c r="F13" s="55" t="s">
        <v>73</v>
      </c>
      <c r="G13" s="56">
        <v>1</v>
      </c>
      <c r="H13" s="56">
        <v>1</v>
      </c>
      <c r="I13" s="56">
        <v>0</v>
      </c>
      <c r="J13" s="56">
        <v>3</v>
      </c>
      <c r="K13" s="56">
        <v>0</v>
      </c>
      <c r="L13" s="56">
        <v>7450000</v>
      </c>
      <c r="M13" s="56">
        <v>1964083.12</v>
      </c>
      <c r="N13" s="56">
        <v>0</v>
      </c>
      <c r="O13" s="56">
        <v>45</v>
      </c>
      <c r="P13" s="56">
        <v>0</v>
      </c>
      <c r="Q13" s="56">
        <v>0</v>
      </c>
      <c r="R13" s="56">
        <v>0</v>
      </c>
      <c r="S13" s="56">
        <v>0</v>
      </c>
      <c r="T13" s="55" t="s">
        <v>1157</v>
      </c>
      <c r="U13" s="55" t="s">
        <v>1145</v>
      </c>
      <c r="V13" s="55" t="s">
        <v>1153</v>
      </c>
      <c r="W13" s="55" t="s">
        <v>1181</v>
      </c>
      <c r="X13" s="55" t="s">
        <v>1163</v>
      </c>
      <c r="Y13" s="55" t="s">
        <v>1178</v>
      </c>
      <c r="Z13" s="55" t="s">
        <v>1182</v>
      </c>
    </row>
    <row r="14" spans="1:26">
      <c r="A14" s="55" t="s">
        <v>557</v>
      </c>
      <c r="B14" s="55" t="s">
        <v>272</v>
      </c>
      <c r="C14" s="55" t="s">
        <v>1142</v>
      </c>
      <c r="D14" s="55" t="s">
        <v>1143</v>
      </c>
      <c r="E14" s="55" t="s">
        <v>1143</v>
      </c>
      <c r="F14" s="55" t="s">
        <v>73</v>
      </c>
      <c r="G14" s="56">
        <v>1</v>
      </c>
      <c r="H14" s="56">
        <v>1</v>
      </c>
      <c r="I14" s="56">
        <v>0</v>
      </c>
      <c r="J14" s="56">
        <v>1</v>
      </c>
      <c r="K14" s="56">
        <v>0</v>
      </c>
      <c r="L14" s="56">
        <v>0</v>
      </c>
      <c r="M14" s="56">
        <v>7949204.74</v>
      </c>
      <c r="N14" s="56">
        <v>265977603.7</v>
      </c>
      <c r="O14" s="56">
        <v>20</v>
      </c>
      <c r="P14" s="56">
        <v>1</v>
      </c>
      <c r="Q14" s="56">
        <v>0</v>
      </c>
      <c r="R14" s="56">
        <v>0</v>
      </c>
      <c r="S14" s="56">
        <v>0</v>
      </c>
      <c r="T14" s="55" t="s">
        <v>1157</v>
      </c>
      <c r="U14" s="55" t="s">
        <v>1145</v>
      </c>
      <c r="V14" s="55" t="s">
        <v>1153</v>
      </c>
      <c r="W14" s="55" t="s">
        <v>1147</v>
      </c>
      <c r="X14" s="55" t="s">
        <v>1154</v>
      </c>
      <c r="Y14" s="55" t="s">
        <v>1183</v>
      </c>
      <c r="Z14" s="55" t="s">
        <v>1156</v>
      </c>
    </row>
    <row r="15" spans="1:26">
      <c r="A15" s="55" t="s">
        <v>558</v>
      </c>
      <c r="B15" s="55" t="s">
        <v>272</v>
      </c>
      <c r="C15" s="55" t="s">
        <v>1142</v>
      </c>
      <c r="D15" s="55" t="s">
        <v>1143</v>
      </c>
      <c r="E15" s="55" t="s">
        <v>1143</v>
      </c>
      <c r="F15" s="55" t="s">
        <v>73</v>
      </c>
      <c r="G15" s="56">
        <v>1</v>
      </c>
      <c r="H15" s="56">
        <v>1</v>
      </c>
      <c r="I15" s="56">
        <v>0</v>
      </c>
      <c r="J15" s="56">
        <v>1</v>
      </c>
      <c r="K15" s="56">
        <v>0</v>
      </c>
      <c r="L15" s="56">
        <v>0</v>
      </c>
      <c r="M15" s="56">
        <v>11630217.44</v>
      </c>
      <c r="N15" s="56">
        <v>912382700.4</v>
      </c>
      <c r="O15" s="56">
        <v>16</v>
      </c>
      <c r="P15" s="56">
        <v>1</v>
      </c>
      <c r="Q15" s="56">
        <v>0</v>
      </c>
      <c r="R15" s="56">
        <v>0</v>
      </c>
      <c r="S15" s="56">
        <v>0</v>
      </c>
      <c r="T15" s="55" t="s">
        <v>1167</v>
      </c>
      <c r="U15" s="55" t="s">
        <v>1145</v>
      </c>
      <c r="V15" s="55" t="s">
        <v>1146</v>
      </c>
      <c r="W15" s="55" t="s">
        <v>1168</v>
      </c>
      <c r="X15" s="55" t="s">
        <v>1154</v>
      </c>
      <c r="Y15" s="55" t="s">
        <v>1184</v>
      </c>
      <c r="Z15" s="55" t="s">
        <v>1185</v>
      </c>
    </row>
    <row r="16" spans="1:26">
      <c r="A16" s="55" t="s">
        <v>559</v>
      </c>
      <c r="B16" s="55" t="s">
        <v>272</v>
      </c>
      <c r="C16" s="55" t="s">
        <v>1142</v>
      </c>
      <c r="D16" s="55" t="s">
        <v>1143</v>
      </c>
      <c r="E16" s="55" t="s">
        <v>1143</v>
      </c>
      <c r="F16" s="55" t="s">
        <v>73</v>
      </c>
      <c r="G16" s="56">
        <v>1</v>
      </c>
      <c r="H16" s="56">
        <v>1</v>
      </c>
      <c r="I16" s="56">
        <v>0</v>
      </c>
      <c r="J16" s="56">
        <v>179</v>
      </c>
      <c r="K16" s="56">
        <v>0</v>
      </c>
      <c r="L16" s="56">
        <v>10430000</v>
      </c>
      <c r="M16" s="56">
        <v>2711223.59</v>
      </c>
      <c r="N16" s="56">
        <v>146798966.94</v>
      </c>
      <c r="O16" s="56">
        <v>64</v>
      </c>
      <c r="P16" s="56">
        <v>0</v>
      </c>
      <c r="Q16" s="56">
        <v>0</v>
      </c>
      <c r="R16" s="56">
        <v>0</v>
      </c>
      <c r="S16" s="56">
        <v>0</v>
      </c>
      <c r="T16" s="55" t="s">
        <v>1157</v>
      </c>
      <c r="U16" s="55" t="s">
        <v>1145</v>
      </c>
      <c r="V16" s="55" t="s">
        <v>1153</v>
      </c>
      <c r="W16" s="55" t="s">
        <v>1147</v>
      </c>
      <c r="X16" s="55" t="s">
        <v>1154</v>
      </c>
      <c r="Y16" s="55" t="s">
        <v>1183</v>
      </c>
      <c r="Z16" s="55" t="s">
        <v>1186</v>
      </c>
    </row>
    <row r="17" spans="1:26">
      <c r="A17" s="55" t="s">
        <v>560</v>
      </c>
      <c r="B17" s="55" t="s">
        <v>272</v>
      </c>
      <c r="C17" s="55" t="s">
        <v>1142</v>
      </c>
      <c r="D17" s="55" t="s">
        <v>1143</v>
      </c>
      <c r="E17" s="55" t="s">
        <v>1143</v>
      </c>
      <c r="F17" s="55" t="s">
        <v>73</v>
      </c>
      <c r="G17" s="56">
        <v>1</v>
      </c>
      <c r="H17" s="56">
        <v>1</v>
      </c>
      <c r="I17" s="56">
        <v>0</v>
      </c>
      <c r="J17" s="56">
        <v>9</v>
      </c>
      <c r="K17" s="56">
        <v>0</v>
      </c>
      <c r="L17" s="56">
        <v>151980000</v>
      </c>
      <c r="M17" s="56">
        <v>0</v>
      </c>
      <c r="N17" s="56">
        <v>0</v>
      </c>
      <c r="O17" s="56">
        <v>91</v>
      </c>
      <c r="P17" s="56">
        <v>0</v>
      </c>
      <c r="Q17" s="56">
        <v>0</v>
      </c>
      <c r="R17" s="56">
        <v>0</v>
      </c>
      <c r="S17" s="56">
        <v>0</v>
      </c>
      <c r="T17" s="55" t="s">
        <v>1167</v>
      </c>
      <c r="U17" s="55" t="s">
        <v>1145</v>
      </c>
      <c r="V17" s="55" t="s">
        <v>1153</v>
      </c>
      <c r="W17" s="55" t="s">
        <v>1181</v>
      </c>
      <c r="X17" s="55" t="s">
        <v>1154</v>
      </c>
      <c r="Y17" s="55" t="s">
        <v>1155</v>
      </c>
      <c r="Z17" s="55" t="s">
        <v>1166</v>
      </c>
    </row>
    <row r="18" spans="1:26">
      <c r="A18" s="55" t="s">
        <v>561</v>
      </c>
      <c r="B18" s="55" t="s">
        <v>272</v>
      </c>
      <c r="C18" s="55" t="s">
        <v>1187</v>
      </c>
      <c r="D18" s="55" t="s">
        <v>1143</v>
      </c>
      <c r="E18" s="55" t="s">
        <v>1188</v>
      </c>
      <c r="F18" s="55" t="s">
        <v>73</v>
      </c>
      <c r="G18" s="56">
        <v>1</v>
      </c>
      <c r="H18" s="56">
        <v>2</v>
      </c>
      <c r="I18" s="56">
        <v>0</v>
      </c>
      <c r="J18" s="56">
        <v>17</v>
      </c>
      <c r="K18" s="56">
        <v>0</v>
      </c>
      <c r="L18" s="56">
        <v>315135000</v>
      </c>
      <c r="M18" s="56">
        <v>2338010.87</v>
      </c>
      <c r="N18" s="56">
        <v>46760217.36</v>
      </c>
      <c r="O18" s="56">
        <v>101</v>
      </c>
      <c r="P18" s="56">
        <v>0</v>
      </c>
      <c r="Q18" s="56">
        <v>0</v>
      </c>
      <c r="R18" s="56">
        <v>0</v>
      </c>
      <c r="S18" s="56">
        <v>0</v>
      </c>
      <c r="T18" s="55" t="s">
        <v>1167</v>
      </c>
      <c r="U18" s="55" t="s">
        <v>1145</v>
      </c>
      <c r="V18" s="55" t="s">
        <v>1153</v>
      </c>
      <c r="W18" s="55" t="s">
        <v>1180</v>
      </c>
      <c r="X18" s="55" t="s">
        <v>1154</v>
      </c>
      <c r="Y18" s="55" t="s">
        <v>1189</v>
      </c>
      <c r="Z18" s="55" t="s">
        <v>1190</v>
      </c>
    </row>
    <row r="19" spans="1:26">
      <c r="A19" s="55" t="s">
        <v>562</v>
      </c>
      <c r="B19" s="55" t="s">
        <v>563</v>
      </c>
      <c r="C19" s="55" t="s">
        <v>1191</v>
      </c>
      <c r="D19" s="55" t="s">
        <v>1188</v>
      </c>
      <c r="E19" s="55" t="s">
        <v>1188</v>
      </c>
      <c r="F19" s="55" t="s">
        <v>74</v>
      </c>
      <c r="G19" s="56">
        <v>2</v>
      </c>
      <c r="H19" s="56">
        <v>2</v>
      </c>
      <c r="I19" s="56">
        <v>5</v>
      </c>
      <c r="J19" s="56">
        <v>4</v>
      </c>
      <c r="K19" s="56">
        <v>0</v>
      </c>
      <c r="L19" s="56">
        <v>0</v>
      </c>
      <c r="M19" s="56">
        <v>6780415.77</v>
      </c>
      <c r="N19" s="56">
        <v>40410481.44</v>
      </c>
      <c r="O19" s="56">
        <v>61</v>
      </c>
      <c r="P19" s="56">
        <v>1</v>
      </c>
      <c r="Q19" s="56">
        <v>0</v>
      </c>
      <c r="R19" s="56">
        <v>0</v>
      </c>
      <c r="S19" s="56">
        <v>1</v>
      </c>
      <c r="T19" s="55" t="s">
        <v>1157</v>
      </c>
      <c r="U19" s="55" t="s">
        <v>1145</v>
      </c>
      <c r="V19" s="55" t="s">
        <v>1153</v>
      </c>
      <c r="W19" s="55" t="s">
        <v>1147</v>
      </c>
      <c r="X19" s="55" t="s">
        <v>1159</v>
      </c>
      <c r="Y19" s="55" t="s">
        <v>1189</v>
      </c>
      <c r="Z19" s="55" t="s">
        <v>1192</v>
      </c>
    </row>
    <row r="20" spans="1:26">
      <c r="A20" s="55" t="s">
        <v>564</v>
      </c>
      <c r="B20" s="55" t="s">
        <v>272</v>
      </c>
      <c r="C20" s="55" t="s">
        <v>1142</v>
      </c>
      <c r="D20" s="55" t="s">
        <v>1143</v>
      </c>
      <c r="E20" s="55" t="s">
        <v>1143</v>
      </c>
      <c r="F20" s="55" t="s">
        <v>73</v>
      </c>
      <c r="G20" s="56">
        <v>1</v>
      </c>
      <c r="H20" s="56">
        <v>1</v>
      </c>
      <c r="I20" s="56">
        <v>0</v>
      </c>
      <c r="J20" s="56">
        <v>1</v>
      </c>
      <c r="K20" s="56">
        <v>0</v>
      </c>
      <c r="L20" s="56">
        <v>59600000</v>
      </c>
      <c r="M20" s="56">
        <v>1551815.67</v>
      </c>
      <c r="N20" s="56">
        <v>31036313.37</v>
      </c>
      <c r="O20" s="56">
        <v>22</v>
      </c>
      <c r="P20" s="56">
        <v>0</v>
      </c>
      <c r="Q20" s="56">
        <v>0</v>
      </c>
      <c r="R20" s="56">
        <v>0</v>
      </c>
      <c r="S20" s="56">
        <v>0</v>
      </c>
      <c r="T20" s="55" t="s">
        <v>1157</v>
      </c>
      <c r="U20" s="55" t="s">
        <v>1145</v>
      </c>
      <c r="V20" s="55" t="s">
        <v>1153</v>
      </c>
      <c r="W20" s="55" t="s">
        <v>1147</v>
      </c>
      <c r="X20" s="55" t="s">
        <v>1159</v>
      </c>
      <c r="Y20" s="55" t="s">
        <v>1189</v>
      </c>
      <c r="Z20" s="55" t="s">
        <v>1193</v>
      </c>
    </row>
    <row r="21" spans="1:26">
      <c r="A21" s="55" t="s">
        <v>565</v>
      </c>
      <c r="B21" s="55" t="s">
        <v>272</v>
      </c>
      <c r="C21" s="55" t="s">
        <v>1142</v>
      </c>
      <c r="D21" s="55" t="s">
        <v>1143</v>
      </c>
      <c r="E21" s="55" t="s">
        <v>1143</v>
      </c>
      <c r="F21" s="55" t="s">
        <v>73</v>
      </c>
      <c r="G21" s="56">
        <v>1</v>
      </c>
      <c r="H21" s="56">
        <v>1</v>
      </c>
      <c r="I21" s="56">
        <v>0</v>
      </c>
      <c r="J21" s="56">
        <v>4</v>
      </c>
      <c r="K21" s="56">
        <v>0</v>
      </c>
      <c r="L21" s="56">
        <v>25762100</v>
      </c>
      <c r="M21" s="56">
        <v>902351.84</v>
      </c>
      <c r="N21" s="56">
        <v>18047036.7</v>
      </c>
      <c r="O21" s="56">
        <v>44</v>
      </c>
      <c r="P21" s="56">
        <v>0</v>
      </c>
      <c r="Q21" s="56">
        <v>0</v>
      </c>
      <c r="R21" s="56">
        <v>0</v>
      </c>
      <c r="S21" s="56">
        <v>0</v>
      </c>
      <c r="T21" s="55" t="s">
        <v>1167</v>
      </c>
      <c r="U21" s="55" t="s">
        <v>1145</v>
      </c>
      <c r="V21" s="55" t="s">
        <v>1153</v>
      </c>
      <c r="W21" s="55" t="s">
        <v>1147</v>
      </c>
      <c r="X21" s="55" t="s">
        <v>1154</v>
      </c>
      <c r="Y21" s="55" t="s">
        <v>1189</v>
      </c>
      <c r="Z21" s="55" t="s">
        <v>1170</v>
      </c>
    </row>
    <row r="22" spans="1:26">
      <c r="A22" s="55" t="s">
        <v>566</v>
      </c>
      <c r="B22" s="55" t="s">
        <v>272</v>
      </c>
      <c r="C22" s="55" t="s">
        <v>1187</v>
      </c>
      <c r="D22" s="55" t="s">
        <v>1188</v>
      </c>
      <c r="E22" s="55" t="s">
        <v>1188</v>
      </c>
      <c r="F22" s="55" t="s">
        <v>74</v>
      </c>
      <c r="G22" s="56">
        <v>2</v>
      </c>
      <c r="H22" s="56">
        <v>2</v>
      </c>
      <c r="I22" s="56">
        <v>26</v>
      </c>
      <c r="J22" s="56">
        <v>23</v>
      </c>
      <c r="K22" s="56">
        <v>2</v>
      </c>
      <c r="L22" s="56">
        <v>27010835.08</v>
      </c>
      <c r="M22" s="56">
        <v>453648.89</v>
      </c>
      <c r="N22" s="56">
        <v>878422.1499999999</v>
      </c>
      <c r="O22" s="56">
        <v>86</v>
      </c>
      <c r="P22" s="56">
        <v>0</v>
      </c>
      <c r="Q22" s="56">
        <v>0</v>
      </c>
      <c r="R22" s="56">
        <v>0</v>
      </c>
      <c r="S22" s="56">
        <v>1</v>
      </c>
      <c r="T22" s="55" t="s">
        <v>1157</v>
      </c>
      <c r="U22" s="55" t="s">
        <v>1145</v>
      </c>
      <c r="V22" s="55" t="s">
        <v>1153</v>
      </c>
      <c r="W22" s="55" t="s">
        <v>1168</v>
      </c>
      <c r="X22" s="55" t="s">
        <v>1154</v>
      </c>
      <c r="Y22" s="55" t="s">
        <v>1189</v>
      </c>
      <c r="Z22" s="55" t="s">
        <v>1194</v>
      </c>
    </row>
    <row r="23" spans="1:26">
      <c r="A23" s="55" t="s">
        <v>567</v>
      </c>
      <c r="B23" s="55" t="s">
        <v>272</v>
      </c>
      <c r="C23" s="55" t="s">
        <v>1142</v>
      </c>
      <c r="D23" s="55" t="s">
        <v>1143</v>
      </c>
      <c r="E23" s="55" t="s">
        <v>1143</v>
      </c>
      <c r="F23" s="55" t="s">
        <v>73</v>
      </c>
      <c r="G23" s="56">
        <v>1</v>
      </c>
      <c r="H23" s="56">
        <v>1</v>
      </c>
      <c r="I23" s="56">
        <v>0</v>
      </c>
      <c r="J23" s="56">
        <v>2</v>
      </c>
      <c r="K23" s="56">
        <v>0</v>
      </c>
      <c r="L23" s="56">
        <v>43210000</v>
      </c>
      <c r="M23" s="56">
        <v>133871.99</v>
      </c>
      <c r="N23" s="56">
        <v>2677439.8</v>
      </c>
      <c r="O23" s="56">
        <v>31</v>
      </c>
      <c r="P23" s="56">
        <v>0</v>
      </c>
      <c r="Q23" s="56">
        <v>0</v>
      </c>
      <c r="R23" s="56">
        <v>0</v>
      </c>
      <c r="S23" s="56">
        <v>0</v>
      </c>
      <c r="T23" s="55" t="s">
        <v>1167</v>
      </c>
      <c r="U23" s="55" t="s">
        <v>1145</v>
      </c>
      <c r="V23" s="55" t="s">
        <v>1146</v>
      </c>
      <c r="W23" s="55" t="s">
        <v>1147</v>
      </c>
      <c r="X23" s="55" t="s">
        <v>1154</v>
      </c>
      <c r="Y23" s="55" t="s">
        <v>1189</v>
      </c>
      <c r="Z23" s="55" t="s">
        <v>1193</v>
      </c>
    </row>
    <row r="24" spans="1:26">
      <c r="A24" s="55" t="s">
        <v>568</v>
      </c>
      <c r="B24" s="55" t="s">
        <v>546</v>
      </c>
      <c r="C24" s="55" t="s">
        <v>1151</v>
      </c>
      <c r="D24" s="55" t="s">
        <v>87</v>
      </c>
      <c r="E24" s="55" t="s">
        <v>87</v>
      </c>
      <c r="F24" s="55" t="s">
        <v>75</v>
      </c>
      <c r="G24" s="56">
        <v>5</v>
      </c>
      <c r="H24" s="56">
        <v>5</v>
      </c>
      <c r="I24" s="56">
        <v>3119</v>
      </c>
      <c r="J24" s="56">
        <v>10</v>
      </c>
      <c r="K24" s="56">
        <v>1</v>
      </c>
      <c r="L24" s="56">
        <v>3347174.4</v>
      </c>
      <c r="M24" s="56">
        <v>788168.8199999999</v>
      </c>
      <c r="N24" s="56">
        <v>46078149.45999999</v>
      </c>
      <c r="O24" s="56">
        <v>152</v>
      </c>
      <c r="P24" s="56">
        <v>0</v>
      </c>
      <c r="Q24" s="56">
        <v>1</v>
      </c>
      <c r="R24" s="56">
        <v>1</v>
      </c>
      <c r="S24" s="56">
        <v>1</v>
      </c>
      <c r="T24" s="55" t="s">
        <v>1173</v>
      </c>
      <c r="U24" s="55" t="s">
        <v>1145</v>
      </c>
      <c r="V24" s="55" t="s">
        <v>1153</v>
      </c>
      <c r="W24" s="55" t="s">
        <v>1147</v>
      </c>
      <c r="X24" s="55" t="s">
        <v>1154</v>
      </c>
      <c r="Y24" s="55" t="s">
        <v>1189</v>
      </c>
      <c r="Z24" s="55" t="s">
        <v>1185</v>
      </c>
    </row>
    <row r="25" spans="1:26">
      <c r="A25" s="55" t="s">
        <v>569</v>
      </c>
      <c r="B25" s="55" t="s">
        <v>272</v>
      </c>
      <c r="C25" s="55" t="s">
        <v>1142</v>
      </c>
      <c r="D25" s="55" t="s">
        <v>1143</v>
      </c>
      <c r="E25" s="55" t="s">
        <v>1143</v>
      </c>
      <c r="F25" s="55" t="s">
        <v>73</v>
      </c>
      <c r="G25" s="56">
        <v>1</v>
      </c>
      <c r="H25" s="56">
        <v>1</v>
      </c>
      <c r="I25" s="56">
        <v>0</v>
      </c>
      <c r="J25" s="56">
        <v>4</v>
      </c>
      <c r="K25" s="56">
        <v>0</v>
      </c>
      <c r="L25" s="56">
        <v>215310960</v>
      </c>
      <c r="M25" s="56">
        <v>783066.89</v>
      </c>
      <c r="N25" s="56">
        <v>15661337.89</v>
      </c>
      <c r="O25" s="56">
        <v>144</v>
      </c>
      <c r="P25" s="56">
        <v>0</v>
      </c>
      <c r="Q25" s="56">
        <v>0</v>
      </c>
      <c r="R25" s="56">
        <v>0</v>
      </c>
      <c r="S25" s="56">
        <v>0</v>
      </c>
      <c r="T25" s="55" t="s">
        <v>1144</v>
      </c>
      <c r="U25" s="55" t="s">
        <v>1165</v>
      </c>
      <c r="V25" s="55" t="s">
        <v>1153</v>
      </c>
      <c r="W25" s="55" t="s">
        <v>1180</v>
      </c>
      <c r="X25" s="55" t="s">
        <v>1154</v>
      </c>
      <c r="Y25" s="55" t="s">
        <v>1195</v>
      </c>
      <c r="Z25" s="55" t="s">
        <v>1196</v>
      </c>
    </row>
    <row r="26" spans="1:26">
      <c r="A26" s="55" t="s">
        <v>570</v>
      </c>
      <c r="B26" s="55" t="s">
        <v>272</v>
      </c>
      <c r="C26" s="55" t="s">
        <v>1187</v>
      </c>
      <c r="D26" s="55" t="s">
        <v>1188</v>
      </c>
      <c r="E26" s="55" t="s">
        <v>1188</v>
      </c>
      <c r="F26" s="55" t="s">
        <v>74</v>
      </c>
      <c r="G26" s="56">
        <v>2</v>
      </c>
      <c r="H26" s="56">
        <v>2</v>
      </c>
      <c r="I26" s="56">
        <v>3</v>
      </c>
      <c r="J26" s="56">
        <v>5</v>
      </c>
      <c r="K26" s="56">
        <v>0</v>
      </c>
      <c r="L26" s="56">
        <v>172840000</v>
      </c>
      <c r="M26" s="56">
        <v>6149866.23</v>
      </c>
      <c r="N26" s="56">
        <v>122997324.56</v>
      </c>
      <c r="O26" s="56">
        <v>34</v>
      </c>
      <c r="P26" s="56">
        <v>0</v>
      </c>
      <c r="Q26" s="56">
        <v>0</v>
      </c>
      <c r="R26" s="56">
        <v>0</v>
      </c>
      <c r="S26" s="56">
        <v>1</v>
      </c>
      <c r="T26" s="55" t="s">
        <v>1157</v>
      </c>
      <c r="U26" s="55" t="s">
        <v>1145</v>
      </c>
      <c r="V26" s="55" t="s">
        <v>1153</v>
      </c>
      <c r="W26" s="55" t="s">
        <v>1168</v>
      </c>
      <c r="X26" s="55" t="s">
        <v>1154</v>
      </c>
      <c r="Y26" s="55" t="s">
        <v>1197</v>
      </c>
      <c r="Z26" s="55" t="s">
        <v>1166</v>
      </c>
    </row>
    <row r="27" spans="1:26">
      <c r="A27" s="55" t="s">
        <v>571</v>
      </c>
      <c r="B27" s="55" t="s">
        <v>272</v>
      </c>
      <c r="C27" s="55" t="s">
        <v>1142</v>
      </c>
      <c r="D27" s="55" t="s">
        <v>1143</v>
      </c>
      <c r="E27" s="55" t="s">
        <v>1143</v>
      </c>
      <c r="F27" s="55" t="s">
        <v>73</v>
      </c>
      <c r="G27" s="56">
        <v>1</v>
      </c>
      <c r="H27" s="56">
        <v>1</v>
      </c>
      <c r="I27" s="56">
        <v>0</v>
      </c>
      <c r="J27" s="56">
        <v>4</v>
      </c>
      <c r="K27" s="56">
        <v>0</v>
      </c>
      <c r="L27" s="56">
        <v>0</v>
      </c>
      <c r="M27" s="56">
        <v>39585890.41</v>
      </c>
      <c r="N27" s="56">
        <v>1074292246.9</v>
      </c>
      <c r="O27" s="56">
        <v>142</v>
      </c>
      <c r="P27" s="56">
        <v>1</v>
      </c>
      <c r="Q27" s="56">
        <v>0</v>
      </c>
      <c r="R27" s="56">
        <v>0</v>
      </c>
      <c r="S27" s="56">
        <v>0</v>
      </c>
      <c r="T27" s="55" t="s">
        <v>1173</v>
      </c>
      <c r="U27" s="55" t="s">
        <v>1145</v>
      </c>
      <c r="V27" s="55" t="s">
        <v>1146</v>
      </c>
      <c r="W27" s="55" t="s">
        <v>1158</v>
      </c>
      <c r="X27" s="55" t="s">
        <v>1198</v>
      </c>
      <c r="Y27" s="55" t="s">
        <v>1189</v>
      </c>
      <c r="Z27" s="55" t="s">
        <v>1172</v>
      </c>
    </row>
    <row r="28" spans="1:26">
      <c r="A28" s="55" t="s">
        <v>572</v>
      </c>
      <c r="B28" s="55" t="s">
        <v>272</v>
      </c>
      <c r="C28" s="55" t="s">
        <v>1142</v>
      </c>
      <c r="D28" s="55" t="s">
        <v>1143</v>
      </c>
      <c r="E28" s="55" t="s">
        <v>1143</v>
      </c>
      <c r="F28" s="55" t="s">
        <v>73</v>
      </c>
      <c r="G28" s="56">
        <v>1</v>
      </c>
      <c r="H28" s="56">
        <v>1</v>
      </c>
      <c r="I28" s="56">
        <v>0</v>
      </c>
      <c r="J28" s="56">
        <v>3</v>
      </c>
      <c r="K28" s="56">
        <v>0</v>
      </c>
      <c r="L28" s="56">
        <v>218939110</v>
      </c>
      <c r="M28" s="56">
        <v>4167505.06</v>
      </c>
      <c r="N28" s="56">
        <v>83350101.28</v>
      </c>
      <c r="O28" s="56">
        <v>132</v>
      </c>
      <c r="P28" s="56">
        <v>0</v>
      </c>
      <c r="Q28" s="56">
        <v>0</v>
      </c>
      <c r="R28" s="56">
        <v>0</v>
      </c>
      <c r="S28" s="56">
        <v>0</v>
      </c>
      <c r="T28" s="55" t="s">
        <v>1173</v>
      </c>
      <c r="U28" s="55" t="s">
        <v>1165</v>
      </c>
      <c r="V28" s="55" t="s">
        <v>1146</v>
      </c>
      <c r="W28" s="55" t="s">
        <v>1168</v>
      </c>
      <c r="X28" s="55" t="s">
        <v>1154</v>
      </c>
      <c r="Y28" s="55" t="s">
        <v>1199</v>
      </c>
      <c r="Z28" s="55" t="s">
        <v>1200</v>
      </c>
    </row>
    <row r="29" spans="1:26">
      <c r="A29" s="55" t="s">
        <v>573</v>
      </c>
      <c r="B29" s="55" t="s">
        <v>546</v>
      </c>
      <c r="C29" s="55" t="s">
        <v>1151</v>
      </c>
      <c r="D29" s="55" t="s">
        <v>87</v>
      </c>
      <c r="E29" s="55" t="s">
        <v>87</v>
      </c>
      <c r="F29" s="55" t="s">
        <v>75</v>
      </c>
      <c r="G29" s="56">
        <v>5</v>
      </c>
      <c r="H29" s="56">
        <v>5</v>
      </c>
      <c r="I29" s="56">
        <v>1463</v>
      </c>
      <c r="J29" s="56">
        <v>11</v>
      </c>
      <c r="K29" s="56">
        <v>0</v>
      </c>
      <c r="L29" s="56">
        <v>23989000</v>
      </c>
      <c r="M29" s="56">
        <v>921994.47</v>
      </c>
      <c r="N29" s="56">
        <v>21385058.57</v>
      </c>
      <c r="O29" s="56">
        <v>63</v>
      </c>
      <c r="P29" s="56">
        <v>0</v>
      </c>
      <c r="Q29" s="56">
        <v>0</v>
      </c>
      <c r="R29" s="56">
        <v>1</v>
      </c>
      <c r="S29" s="56">
        <v>1</v>
      </c>
      <c r="T29" s="55" t="s">
        <v>1157</v>
      </c>
      <c r="U29" s="55" t="s">
        <v>1145</v>
      </c>
      <c r="V29" s="55" t="s">
        <v>1153</v>
      </c>
      <c r="W29" s="55" t="s">
        <v>1168</v>
      </c>
      <c r="X29" s="55" t="s">
        <v>1201</v>
      </c>
      <c r="Y29" s="55" t="s">
        <v>1199</v>
      </c>
      <c r="Z29" s="55" t="s">
        <v>1164</v>
      </c>
    </row>
    <row r="30" spans="1:26">
      <c r="A30" s="55" t="s">
        <v>574</v>
      </c>
      <c r="B30" s="55" t="s">
        <v>272</v>
      </c>
      <c r="C30" s="55" t="s">
        <v>1187</v>
      </c>
      <c r="D30" s="55" t="s">
        <v>1143</v>
      </c>
      <c r="E30" s="55" t="s">
        <v>1188</v>
      </c>
      <c r="F30" s="55" t="s">
        <v>73</v>
      </c>
      <c r="G30" s="56">
        <v>1</v>
      </c>
      <c r="H30" s="56">
        <v>2</v>
      </c>
      <c r="I30" s="56">
        <v>0</v>
      </c>
      <c r="J30" s="56">
        <v>17</v>
      </c>
      <c r="K30" s="56">
        <v>1</v>
      </c>
      <c r="L30" s="56">
        <v>578120001.5</v>
      </c>
      <c r="M30" s="56">
        <v>16337766.72</v>
      </c>
      <c r="N30" s="56">
        <v>326755334.4</v>
      </c>
      <c r="O30" s="56">
        <v>132</v>
      </c>
      <c r="P30" s="56">
        <v>0</v>
      </c>
      <c r="Q30" s="56">
        <v>0</v>
      </c>
      <c r="R30" s="56">
        <v>0</v>
      </c>
      <c r="S30" s="56">
        <v>0</v>
      </c>
      <c r="T30" s="55" t="s">
        <v>1167</v>
      </c>
      <c r="U30" s="55" t="s">
        <v>1145</v>
      </c>
      <c r="V30" s="55" t="s">
        <v>1146</v>
      </c>
      <c r="W30" s="55" t="s">
        <v>1147</v>
      </c>
      <c r="X30" s="55" t="s">
        <v>1154</v>
      </c>
      <c r="Y30" s="55" t="s">
        <v>1202</v>
      </c>
      <c r="Z30" s="55" t="s">
        <v>1190</v>
      </c>
    </row>
    <row r="31" spans="1:26">
      <c r="A31" s="55" t="s">
        <v>575</v>
      </c>
      <c r="B31" s="55" t="s">
        <v>272</v>
      </c>
      <c r="C31" s="55" t="s">
        <v>1187</v>
      </c>
      <c r="D31" s="55" t="s">
        <v>1143</v>
      </c>
      <c r="E31" s="55" t="s">
        <v>1188</v>
      </c>
      <c r="F31" s="55" t="s">
        <v>73</v>
      </c>
      <c r="G31" s="56">
        <v>1</v>
      </c>
      <c r="H31" s="56">
        <v>2</v>
      </c>
      <c r="I31" s="56">
        <v>0</v>
      </c>
      <c r="J31" s="56">
        <v>4</v>
      </c>
      <c r="K31" s="56">
        <v>0</v>
      </c>
      <c r="L31" s="56">
        <v>0</v>
      </c>
      <c r="M31" s="56">
        <v>347966.95</v>
      </c>
      <c r="N31" s="56">
        <v>58850785.98</v>
      </c>
      <c r="O31" s="56">
        <v>125</v>
      </c>
      <c r="P31" s="56">
        <v>1</v>
      </c>
      <c r="Q31" s="56">
        <v>0</v>
      </c>
      <c r="R31" s="56">
        <v>0</v>
      </c>
      <c r="S31" s="56">
        <v>0</v>
      </c>
      <c r="T31" s="55" t="s">
        <v>1173</v>
      </c>
      <c r="U31" s="55" t="s">
        <v>1145</v>
      </c>
      <c r="V31" s="55" t="s">
        <v>1146</v>
      </c>
      <c r="W31" s="55" t="s">
        <v>1168</v>
      </c>
      <c r="X31" s="55" t="s">
        <v>1159</v>
      </c>
      <c r="Y31" s="55" t="s">
        <v>1203</v>
      </c>
      <c r="Z31" s="55" t="s">
        <v>1204</v>
      </c>
    </row>
    <row r="32" spans="1:26">
      <c r="A32" s="55" t="s">
        <v>576</v>
      </c>
      <c r="B32" s="55" t="s">
        <v>272</v>
      </c>
      <c r="C32" s="55" t="s">
        <v>1142</v>
      </c>
      <c r="D32" s="55" t="s">
        <v>1143</v>
      </c>
      <c r="E32" s="55" t="s">
        <v>1143</v>
      </c>
      <c r="F32" s="55" t="s">
        <v>73</v>
      </c>
      <c r="G32" s="56">
        <v>1</v>
      </c>
      <c r="H32" s="56">
        <v>1</v>
      </c>
      <c r="I32" s="56">
        <v>0</v>
      </c>
      <c r="J32" s="56">
        <v>13</v>
      </c>
      <c r="K32" s="56">
        <v>0</v>
      </c>
      <c r="L32" s="56">
        <v>163900000</v>
      </c>
      <c r="M32" s="56">
        <v>502872.34</v>
      </c>
      <c r="N32" s="56">
        <v>10057446.82</v>
      </c>
      <c r="O32" s="56">
        <v>59</v>
      </c>
      <c r="P32" s="56">
        <v>0</v>
      </c>
      <c r="Q32" s="56">
        <v>0</v>
      </c>
      <c r="R32" s="56">
        <v>0</v>
      </c>
      <c r="S32" s="56">
        <v>0</v>
      </c>
      <c r="T32" s="55" t="s">
        <v>1157</v>
      </c>
      <c r="U32" s="55" t="s">
        <v>1165</v>
      </c>
      <c r="V32" s="55" t="s">
        <v>1153</v>
      </c>
      <c r="W32" s="55" t="s">
        <v>1168</v>
      </c>
      <c r="X32" s="55" t="s">
        <v>1205</v>
      </c>
      <c r="Y32" s="55" t="s">
        <v>1206</v>
      </c>
      <c r="Z32" s="55" t="s">
        <v>1156</v>
      </c>
    </row>
    <row r="33" spans="1:26">
      <c r="A33" s="55" t="s">
        <v>577</v>
      </c>
      <c r="B33" s="55" t="s">
        <v>272</v>
      </c>
      <c r="C33" s="55" t="s">
        <v>1142</v>
      </c>
      <c r="D33" s="55" t="s">
        <v>1143</v>
      </c>
      <c r="E33" s="55" t="s">
        <v>1143</v>
      </c>
      <c r="F33" s="55" t="s">
        <v>73</v>
      </c>
      <c r="G33" s="56">
        <v>1</v>
      </c>
      <c r="H33" s="56">
        <v>1</v>
      </c>
      <c r="I33" s="56">
        <v>0</v>
      </c>
      <c r="J33" s="56">
        <v>1</v>
      </c>
      <c r="K33" s="56">
        <v>0</v>
      </c>
      <c r="L33" s="56">
        <v>0</v>
      </c>
      <c r="M33" s="56">
        <v>3244803.03</v>
      </c>
      <c r="N33" s="56">
        <v>0</v>
      </c>
      <c r="O33" s="56">
        <v>14</v>
      </c>
      <c r="P33" s="56">
        <v>1</v>
      </c>
      <c r="Q33" s="56">
        <v>0</v>
      </c>
      <c r="R33" s="56">
        <v>0</v>
      </c>
      <c r="S33" s="56">
        <v>0</v>
      </c>
      <c r="T33" s="55" t="s">
        <v>1152</v>
      </c>
      <c r="U33" s="55" t="s">
        <v>1145</v>
      </c>
      <c r="V33" s="55" t="s">
        <v>1146</v>
      </c>
      <c r="W33" s="55" t="s">
        <v>1168</v>
      </c>
      <c r="X33" s="55" t="s">
        <v>1154</v>
      </c>
      <c r="Y33" s="55" t="s">
        <v>1184</v>
      </c>
      <c r="Z33" s="55" t="s">
        <v>1185</v>
      </c>
    </row>
    <row r="34" spans="1:26">
      <c r="A34" s="55" t="s">
        <v>578</v>
      </c>
      <c r="B34" s="55" t="s">
        <v>272</v>
      </c>
      <c r="C34" s="55" t="s">
        <v>1142</v>
      </c>
      <c r="D34" s="55" t="s">
        <v>1143</v>
      </c>
      <c r="E34" s="55" t="s">
        <v>1143</v>
      </c>
      <c r="F34" s="55" t="s">
        <v>73</v>
      </c>
      <c r="G34" s="56">
        <v>1</v>
      </c>
      <c r="H34" s="56">
        <v>1</v>
      </c>
      <c r="I34" s="56">
        <v>0</v>
      </c>
      <c r="J34" s="56">
        <v>4</v>
      </c>
      <c r="K34" s="56">
        <v>0</v>
      </c>
      <c r="L34" s="56">
        <v>298000000</v>
      </c>
      <c r="M34" s="56">
        <v>133870.27</v>
      </c>
      <c r="N34" s="56">
        <v>2677405.43</v>
      </c>
      <c r="O34" s="56">
        <v>67</v>
      </c>
      <c r="P34" s="56">
        <v>0</v>
      </c>
      <c r="Q34" s="56">
        <v>0</v>
      </c>
      <c r="R34" s="56">
        <v>0</v>
      </c>
      <c r="S34" s="56">
        <v>0</v>
      </c>
      <c r="T34" s="55" t="s">
        <v>1167</v>
      </c>
      <c r="U34" s="55" t="s">
        <v>1145</v>
      </c>
      <c r="V34" s="55" t="s">
        <v>1146</v>
      </c>
      <c r="W34" s="55" t="s">
        <v>1168</v>
      </c>
      <c r="X34" s="55" t="s">
        <v>1154</v>
      </c>
      <c r="Y34" s="55" t="s">
        <v>1207</v>
      </c>
      <c r="Z34" s="55" t="s">
        <v>1192</v>
      </c>
    </row>
    <row r="35" spans="1:26">
      <c r="A35" s="55" t="s">
        <v>579</v>
      </c>
      <c r="B35" s="55" t="s">
        <v>272</v>
      </c>
      <c r="C35" s="55" t="s">
        <v>1142</v>
      </c>
      <c r="D35" s="55" t="s">
        <v>1143</v>
      </c>
      <c r="E35" s="55" t="s">
        <v>1143</v>
      </c>
      <c r="F35" s="55" t="s">
        <v>73</v>
      </c>
      <c r="G35" s="56">
        <v>1</v>
      </c>
      <c r="H35" s="56">
        <v>1</v>
      </c>
      <c r="I35" s="56">
        <v>0</v>
      </c>
      <c r="J35" s="56">
        <v>41</v>
      </c>
      <c r="K35" s="56">
        <v>0</v>
      </c>
      <c r="L35" s="56">
        <v>15811579.14</v>
      </c>
      <c r="M35" s="56">
        <v>3135366.12</v>
      </c>
      <c r="N35" s="56">
        <v>21031219.14</v>
      </c>
      <c r="O35" s="56">
        <v>22</v>
      </c>
      <c r="P35" s="56">
        <v>0</v>
      </c>
      <c r="Q35" s="56">
        <v>0</v>
      </c>
      <c r="R35" s="56">
        <v>0</v>
      </c>
      <c r="S35" s="56">
        <v>0</v>
      </c>
      <c r="T35" s="55" t="s">
        <v>1157</v>
      </c>
      <c r="U35" s="55" t="s">
        <v>1165</v>
      </c>
      <c r="V35" s="55" t="s">
        <v>1153</v>
      </c>
      <c r="W35" s="55" t="s">
        <v>1180</v>
      </c>
      <c r="X35" s="55" t="s">
        <v>1154</v>
      </c>
      <c r="Y35" s="55" t="s">
        <v>1208</v>
      </c>
      <c r="Z35" s="55" t="s">
        <v>1209</v>
      </c>
    </row>
    <row r="36" spans="1:26">
      <c r="A36" s="55" t="s">
        <v>580</v>
      </c>
      <c r="B36" s="55" t="s">
        <v>272</v>
      </c>
      <c r="C36" s="55" t="s">
        <v>1187</v>
      </c>
      <c r="D36" s="55" t="s">
        <v>1188</v>
      </c>
      <c r="E36" s="55" t="s">
        <v>1188</v>
      </c>
      <c r="F36" s="55" t="s">
        <v>74</v>
      </c>
      <c r="G36" s="56">
        <v>2</v>
      </c>
      <c r="H36" s="56">
        <v>2</v>
      </c>
      <c r="I36" s="56">
        <v>0</v>
      </c>
      <c r="J36" s="56">
        <v>2</v>
      </c>
      <c r="K36" s="56">
        <v>0</v>
      </c>
      <c r="L36" s="56">
        <v>93870000</v>
      </c>
      <c r="M36" s="56">
        <v>0</v>
      </c>
      <c r="N36" s="56">
        <v>0</v>
      </c>
      <c r="O36" s="56">
        <v>18</v>
      </c>
      <c r="P36" s="56">
        <v>0</v>
      </c>
      <c r="Q36" s="56">
        <v>0</v>
      </c>
      <c r="R36" s="56">
        <v>0</v>
      </c>
      <c r="S36" s="56">
        <v>0</v>
      </c>
      <c r="T36" s="55" t="s">
        <v>1157</v>
      </c>
      <c r="U36" s="55" t="s">
        <v>1165</v>
      </c>
      <c r="V36" s="55" t="s">
        <v>1153</v>
      </c>
      <c r="W36" s="55" t="s">
        <v>1168</v>
      </c>
      <c r="X36" s="55" t="s">
        <v>1154</v>
      </c>
      <c r="Y36" s="55" t="s">
        <v>1210</v>
      </c>
      <c r="Z36" s="55" t="s">
        <v>1211</v>
      </c>
    </row>
    <row r="37" spans="1:26">
      <c r="A37" s="55" t="s">
        <v>581</v>
      </c>
      <c r="B37" s="55" t="s">
        <v>272</v>
      </c>
      <c r="C37" s="55" t="s">
        <v>1142</v>
      </c>
      <c r="D37" s="55" t="s">
        <v>1143</v>
      </c>
      <c r="E37" s="55" t="s">
        <v>1143</v>
      </c>
      <c r="F37" s="55" t="s">
        <v>73</v>
      </c>
      <c r="G37" s="56">
        <v>1</v>
      </c>
      <c r="H37" s="56">
        <v>1</v>
      </c>
      <c r="I37" s="56">
        <v>0</v>
      </c>
      <c r="J37" s="56">
        <v>30</v>
      </c>
      <c r="K37" s="56">
        <v>0</v>
      </c>
      <c r="L37" s="56">
        <v>174615633</v>
      </c>
      <c r="M37" s="56">
        <v>1335390.45</v>
      </c>
      <c r="N37" s="56">
        <v>26707809.04</v>
      </c>
      <c r="O37" s="56">
        <v>60</v>
      </c>
      <c r="P37" s="56">
        <v>0</v>
      </c>
      <c r="Q37" s="56">
        <v>0</v>
      </c>
      <c r="R37" s="56">
        <v>0</v>
      </c>
      <c r="S37" s="56">
        <v>0</v>
      </c>
      <c r="T37" s="55" t="s">
        <v>1157</v>
      </c>
      <c r="U37" s="55" t="s">
        <v>1145</v>
      </c>
      <c r="V37" s="55" t="s">
        <v>1153</v>
      </c>
      <c r="W37" s="55" t="s">
        <v>1147</v>
      </c>
      <c r="X37" s="55" t="s">
        <v>1154</v>
      </c>
      <c r="Y37" s="55" t="s">
        <v>1212</v>
      </c>
      <c r="Z37" s="55" t="s">
        <v>1156</v>
      </c>
    </row>
    <row r="38" spans="1:26">
      <c r="A38" s="55" t="s">
        <v>582</v>
      </c>
      <c r="B38" s="55" t="s">
        <v>272</v>
      </c>
      <c r="C38" s="55" t="s">
        <v>1142</v>
      </c>
      <c r="D38" s="55" t="s">
        <v>1213</v>
      </c>
      <c r="E38" s="55" t="s">
        <v>1214</v>
      </c>
      <c r="F38" s="55" t="s">
        <v>76</v>
      </c>
      <c r="H38" s="56">
        <v>1</v>
      </c>
      <c r="I38" s="56">
        <v>0</v>
      </c>
      <c r="J38" s="56">
        <v>2</v>
      </c>
      <c r="K38" s="56">
        <v>0</v>
      </c>
      <c r="L38" s="56">
        <v>0</v>
      </c>
      <c r="M38" s="56">
        <v>0</v>
      </c>
      <c r="N38" s="56">
        <v>0</v>
      </c>
      <c r="O38" s="56">
        <v>103</v>
      </c>
      <c r="P38" s="56">
        <v>1</v>
      </c>
      <c r="Q38" s="56">
        <v>0</v>
      </c>
      <c r="R38" s="56">
        <v>0</v>
      </c>
      <c r="S38" s="56">
        <v>0</v>
      </c>
      <c r="T38" s="55" t="s">
        <v>1173</v>
      </c>
      <c r="U38" s="55" t="s">
        <v>1145</v>
      </c>
      <c r="V38" s="55" t="s">
        <v>1153</v>
      </c>
      <c r="W38" s="55" t="s">
        <v>1168</v>
      </c>
      <c r="X38" s="55" t="s">
        <v>1159</v>
      </c>
      <c r="Y38" s="55" t="s">
        <v>1215</v>
      </c>
      <c r="Z38" s="55" t="s">
        <v>1179</v>
      </c>
    </row>
    <row r="39" spans="1:26">
      <c r="A39" s="55" t="s">
        <v>583</v>
      </c>
      <c r="B39" s="55" t="s">
        <v>272</v>
      </c>
      <c r="C39" s="55" t="s">
        <v>1142</v>
      </c>
      <c r="D39" s="55" t="s">
        <v>1143</v>
      </c>
      <c r="E39" s="55" t="s">
        <v>1143</v>
      </c>
      <c r="F39" s="55" t="s">
        <v>73</v>
      </c>
      <c r="G39" s="56">
        <v>1</v>
      </c>
      <c r="H39" s="56">
        <v>1</v>
      </c>
      <c r="I39" s="56">
        <v>0</v>
      </c>
      <c r="J39" s="56">
        <v>10</v>
      </c>
      <c r="K39" s="56">
        <v>0</v>
      </c>
      <c r="L39" s="56">
        <v>212827.68</v>
      </c>
      <c r="M39" s="56">
        <v>156986.97</v>
      </c>
      <c r="N39" s="56">
        <v>212827.68</v>
      </c>
      <c r="O39" s="56">
        <v>28</v>
      </c>
      <c r="P39" s="56">
        <v>0</v>
      </c>
      <c r="Q39" s="56">
        <v>0</v>
      </c>
      <c r="R39" s="56">
        <v>0</v>
      </c>
      <c r="S39" s="56">
        <v>0</v>
      </c>
      <c r="T39" s="55" t="s">
        <v>1152</v>
      </c>
      <c r="U39" s="55" t="s">
        <v>1145</v>
      </c>
      <c r="V39" s="55" t="s">
        <v>1153</v>
      </c>
      <c r="W39" s="55" t="s">
        <v>1168</v>
      </c>
      <c r="X39" s="55" t="s">
        <v>1154</v>
      </c>
      <c r="Y39" s="55" t="s">
        <v>1216</v>
      </c>
      <c r="Z39" s="55" t="s">
        <v>1217</v>
      </c>
    </row>
    <row r="40" spans="1:26">
      <c r="A40" s="55" t="s">
        <v>584</v>
      </c>
      <c r="B40" s="55" t="s">
        <v>546</v>
      </c>
      <c r="C40" s="55" t="s">
        <v>1151</v>
      </c>
      <c r="D40" s="55" t="s">
        <v>87</v>
      </c>
      <c r="E40" s="55" t="s">
        <v>87</v>
      </c>
      <c r="F40" s="55" t="s">
        <v>75</v>
      </c>
      <c r="G40" s="56">
        <v>5</v>
      </c>
      <c r="H40" s="56">
        <v>5</v>
      </c>
      <c r="I40" s="56">
        <v>1584</v>
      </c>
      <c r="J40" s="56">
        <v>11</v>
      </c>
      <c r="K40" s="56">
        <v>1</v>
      </c>
      <c r="L40" s="56">
        <v>0</v>
      </c>
      <c r="M40" s="56">
        <v>2097890.1</v>
      </c>
      <c r="N40" s="56">
        <v>82389365.96000001</v>
      </c>
      <c r="O40" s="56">
        <v>53</v>
      </c>
      <c r="P40" s="56">
        <v>1</v>
      </c>
      <c r="Q40" s="56">
        <v>1</v>
      </c>
      <c r="R40" s="56">
        <v>1</v>
      </c>
      <c r="S40" s="56">
        <v>1</v>
      </c>
      <c r="T40" s="55" t="s">
        <v>1167</v>
      </c>
      <c r="U40" s="55" t="s">
        <v>1165</v>
      </c>
      <c r="V40" s="55" t="s">
        <v>1146</v>
      </c>
      <c r="W40" s="55" t="s">
        <v>1147</v>
      </c>
      <c r="X40" s="55" t="s">
        <v>1218</v>
      </c>
      <c r="Y40" s="55" t="s">
        <v>1219</v>
      </c>
      <c r="Z40" s="55" t="s">
        <v>1220</v>
      </c>
    </row>
    <row r="41" spans="1:26">
      <c r="A41" s="55" t="s">
        <v>585</v>
      </c>
      <c r="B41" s="55" t="s">
        <v>272</v>
      </c>
      <c r="C41" s="55" t="s">
        <v>1142</v>
      </c>
      <c r="D41" s="55" t="s">
        <v>1143</v>
      </c>
      <c r="E41" s="55" t="s">
        <v>1143</v>
      </c>
      <c r="F41" s="55" t="s">
        <v>73</v>
      </c>
      <c r="G41" s="56">
        <v>1</v>
      </c>
      <c r="H41" s="56">
        <v>1</v>
      </c>
      <c r="I41" s="56">
        <v>0</v>
      </c>
      <c r="J41" s="56">
        <v>1</v>
      </c>
      <c r="K41" s="56">
        <v>0</v>
      </c>
      <c r="L41" s="56">
        <v>29800000</v>
      </c>
      <c r="M41" s="56">
        <v>1066322.46</v>
      </c>
      <c r="N41" s="56">
        <v>21326449.2</v>
      </c>
      <c r="O41" s="56">
        <v>8</v>
      </c>
      <c r="P41" s="56">
        <v>0</v>
      </c>
      <c r="Q41" s="56">
        <v>0</v>
      </c>
      <c r="R41" s="56">
        <v>0</v>
      </c>
      <c r="S41" s="56">
        <v>0</v>
      </c>
      <c r="T41" s="55" t="s">
        <v>1157</v>
      </c>
      <c r="U41" s="55" t="s">
        <v>1145</v>
      </c>
      <c r="V41" s="55" t="s">
        <v>1153</v>
      </c>
      <c r="W41" s="55" t="s">
        <v>1180</v>
      </c>
      <c r="X41" s="55" t="s">
        <v>1221</v>
      </c>
      <c r="Y41" s="55" t="s">
        <v>1199</v>
      </c>
      <c r="Z41" s="55" t="s">
        <v>1166</v>
      </c>
    </row>
    <row r="42" spans="1:26">
      <c r="A42" s="55" t="s">
        <v>586</v>
      </c>
      <c r="B42" s="55" t="s">
        <v>272</v>
      </c>
      <c r="C42" s="55" t="s">
        <v>1142</v>
      </c>
      <c r="D42" s="55" t="s">
        <v>1143</v>
      </c>
      <c r="E42" s="55" t="s">
        <v>1143</v>
      </c>
      <c r="F42" s="55" t="s">
        <v>73</v>
      </c>
      <c r="G42" s="56">
        <v>1</v>
      </c>
      <c r="H42" s="56">
        <v>1</v>
      </c>
      <c r="I42" s="56">
        <v>0</v>
      </c>
      <c r="J42" s="56">
        <v>2</v>
      </c>
      <c r="K42" s="56">
        <v>0</v>
      </c>
      <c r="L42" s="56">
        <v>32780000</v>
      </c>
      <c r="M42" s="56">
        <v>87233.77</v>
      </c>
      <c r="N42" s="56">
        <v>1744675.44</v>
      </c>
      <c r="O42" s="56">
        <v>60</v>
      </c>
      <c r="P42" s="56">
        <v>0</v>
      </c>
      <c r="Q42" s="56">
        <v>0</v>
      </c>
      <c r="R42" s="56">
        <v>0</v>
      </c>
      <c r="S42" s="56">
        <v>0</v>
      </c>
      <c r="T42" s="55" t="s">
        <v>1157</v>
      </c>
      <c r="U42" s="55" t="s">
        <v>1165</v>
      </c>
      <c r="V42" s="55" t="s">
        <v>1153</v>
      </c>
      <c r="W42" s="55" t="s">
        <v>1147</v>
      </c>
      <c r="X42" s="55" t="s">
        <v>1163</v>
      </c>
      <c r="Y42" s="55" t="s">
        <v>1222</v>
      </c>
      <c r="Z42" s="55" t="s">
        <v>1185</v>
      </c>
    </row>
    <row r="43" spans="1:26">
      <c r="A43" s="55" t="s">
        <v>587</v>
      </c>
      <c r="B43" s="55" t="s">
        <v>546</v>
      </c>
      <c r="C43" s="55" t="s">
        <v>1151</v>
      </c>
      <c r="D43" s="55" t="s">
        <v>87</v>
      </c>
      <c r="E43" s="55" t="s">
        <v>87</v>
      </c>
      <c r="F43" s="55" t="s">
        <v>75</v>
      </c>
      <c r="G43" s="56">
        <v>5</v>
      </c>
      <c r="H43" s="56">
        <v>5</v>
      </c>
      <c r="I43" s="56">
        <v>277</v>
      </c>
      <c r="J43" s="56">
        <v>37</v>
      </c>
      <c r="K43" s="56">
        <v>0</v>
      </c>
      <c r="L43" s="56">
        <v>4629761.42</v>
      </c>
      <c r="M43" s="56">
        <v>1027269.47</v>
      </c>
      <c r="N43" s="56">
        <v>22039846.64</v>
      </c>
      <c r="O43" s="56">
        <v>29</v>
      </c>
      <c r="P43" s="56">
        <v>0</v>
      </c>
      <c r="Q43" s="56">
        <v>0</v>
      </c>
      <c r="R43" s="56">
        <v>1</v>
      </c>
      <c r="S43" s="56">
        <v>1</v>
      </c>
      <c r="T43" s="55" t="s">
        <v>1157</v>
      </c>
      <c r="U43" s="55" t="s">
        <v>1145</v>
      </c>
      <c r="V43" s="55" t="s">
        <v>1153</v>
      </c>
      <c r="W43" s="55" t="s">
        <v>1147</v>
      </c>
      <c r="X43" s="55" t="s">
        <v>1154</v>
      </c>
      <c r="Y43" s="55" t="s">
        <v>1223</v>
      </c>
      <c r="Z43" s="55" t="s">
        <v>1164</v>
      </c>
    </row>
    <row r="44" spans="1:26">
      <c r="A44" s="55" t="s">
        <v>588</v>
      </c>
      <c r="B44" s="55" t="s">
        <v>272</v>
      </c>
      <c r="C44" s="55" t="s">
        <v>1142</v>
      </c>
      <c r="D44" s="55" t="s">
        <v>1143</v>
      </c>
      <c r="E44" s="55" t="s">
        <v>1143</v>
      </c>
      <c r="F44" s="55" t="s">
        <v>73</v>
      </c>
      <c r="G44" s="56">
        <v>1</v>
      </c>
      <c r="H44" s="56">
        <v>1</v>
      </c>
      <c r="I44" s="56">
        <v>0</v>
      </c>
      <c r="J44" s="56">
        <v>1</v>
      </c>
      <c r="K44" s="56">
        <v>0</v>
      </c>
      <c r="L44" s="56">
        <v>43210000</v>
      </c>
      <c r="M44" s="56">
        <v>808467.85</v>
      </c>
      <c r="N44" s="56">
        <v>16169356.92</v>
      </c>
      <c r="O44" s="56">
        <v>3</v>
      </c>
      <c r="P44" s="56">
        <v>0</v>
      </c>
      <c r="Q44" s="56">
        <v>0</v>
      </c>
      <c r="R44" s="56">
        <v>0</v>
      </c>
      <c r="S44" s="56">
        <v>0</v>
      </c>
      <c r="T44" s="55" t="s">
        <v>1162</v>
      </c>
      <c r="U44" s="55" t="s">
        <v>1145</v>
      </c>
      <c r="V44" s="55" t="s">
        <v>1153</v>
      </c>
      <c r="W44" s="55" t="s">
        <v>1180</v>
      </c>
      <c r="X44" s="55" t="s">
        <v>1163</v>
      </c>
      <c r="Y44" s="55" t="s">
        <v>1169</v>
      </c>
      <c r="Z44" s="55" t="s">
        <v>1182</v>
      </c>
    </row>
    <row r="45" spans="1:26">
      <c r="A45" s="55" t="s">
        <v>589</v>
      </c>
      <c r="B45" s="55" t="s">
        <v>272</v>
      </c>
      <c r="C45" s="55" t="s">
        <v>1142</v>
      </c>
      <c r="D45" s="55" t="s">
        <v>1143</v>
      </c>
      <c r="E45" s="55" t="s">
        <v>1143</v>
      </c>
      <c r="F45" s="55" t="s">
        <v>73</v>
      </c>
      <c r="G45" s="56">
        <v>1</v>
      </c>
      <c r="H45" s="56">
        <v>1</v>
      </c>
      <c r="I45" s="56">
        <v>0</v>
      </c>
      <c r="J45" s="56">
        <v>16</v>
      </c>
      <c r="K45" s="56">
        <v>0</v>
      </c>
      <c r="L45" s="56">
        <v>312900000</v>
      </c>
      <c r="M45" s="56">
        <v>16729844.92</v>
      </c>
      <c r="N45" s="56">
        <v>837991106.65</v>
      </c>
      <c r="O45" s="56">
        <v>144</v>
      </c>
      <c r="P45" s="56">
        <v>0</v>
      </c>
      <c r="Q45" s="56">
        <v>0</v>
      </c>
      <c r="R45" s="56">
        <v>0</v>
      </c>
      <c r="S45" s="56">
        <v>0</v>
      </c>
      <c r="T45" s="55" t="s">
        <v>1152</v>
      </c>
      <c r="U45" s="55" t="s">
        <v>1145</v>
      </c>
      <c r="V45" s="55" t="s">
        <v>1153</v>
      </c>
      <c r="W45" s="55" t="s">
        <v>1147</v>
      </c>
      <c r="X45" s="55" t="s">
        <v>1154</v>
      </c>
      <c r="Y45" s="55" t="s">
        <v>1224</v>
      </c>
      <c r="Z45" s="55" t="s">
        <v>1182</v>
      </c>
    </row>
    <row r="46" spans="1:26">
      <c r="A46" s="55" t="s">
        <v>590</v>
      </c>
      <c r="B46" s="55" t="s">
        <v>272</v>
      </c>
      <c r="C46" s="55" t="s">
        <v>1142</v>
      </c>
      <c r="D46" s="55" t="s">
        <v>1143</v>
      </c>
      <c r="E46" s="55" t="s">
        <v>1143</v>
      </c>
      <c r="F46" s="55" t="s">
        <v>73</v>
      </c>
      <c r="G46" s="56">
        <v>1</v>
      </c>
      <c r="H46" s="56">
        <v>1</v>
      </c>
      <c r="I46" s="56">
        <v>0</v>
      </c>
      <c r="J46" s="56">
        <v>5</v>
      </c>
      <c r="K46" s="56">
        <v>0</v>
      </c>
      <c r="L46" s="56">
        <v>888338421</v>
      </c>
      <c r="M46" s="56">
        <v>10730511.56</v>
      </c>
      <c r="N46" s="56">
        <v>888338421</v>
      </c>
      <c r="O46" s="56">
        <v>114</v>
      </c>
      <c r="P46" s="56">
        <v>0</v>
      </c>
      <c r="Q46" s="56">
        <v>0</v>
      </c>
      <c r="R46" s="56">
        <v>0</v>
      </c>
      <c r="S46" s="56">
        <v>0</v>
      </c>
      <c r="T46" s="55" t="s">
        <v>1152</v>
      </c>
      <c r="U46" s="55" t="s">
        <v>1145</v>
      </c>
      <c r="V46" s="55" t="s">
        <v>1146</v>
      </c>
      <c r="W46" s="55" t="s">
        <v>1147</v>
      </c>
      <c r="X46" s="55" t="s">
        <v>1154</v>
      </c>
      <c r="Y46" s="55" t="s">
        <v>1225</v>
      </c>
      <c r="Z46" s="55" t="s">
        <v>1164</v>
      </c>
    </row>
    <row r="47" spans="1:26">
      <c r="A47" s="55" t="s">
        <v>591</v>
      </c>
      <c r="B47" s="55" t="s">
        <v>272</v>
      </c>
      <c r="C47" s="55" t="s">
        <v>1142</v>
      </c>
      <c r="D47" s="55" t="s">
        <v>1143</v>
      </c>
      <c r="E47" s="55" t="s">
        <v>1143</v>
      </c>
      <c r="F47" s="55" t="s">
        <v>73</v>
      </c>
      <c r="G47" s="56">
        <v>1</v>
      </c>
      <c r="H47" s="56">
        <v>1</v>
      </c>
      <c r="I47" s="56">
        <v>0</v>
      </c>
      <c r="J47" s="56">
        <v>5</v>
      </c>
      <c r="K47" s="56">
        <v>0</v>
      </c>
      <c r="L47" s="56">
        <v>0</v>
      </c>
      <c r="M47" s="56">
        <v>813602.9399999999</v>
      </c>
      <c r="N47" s="56">
        <v>27939879.12</v>
      </c>
      <c r="O47" s="56">
        <v>136</v>
      </c>
      <c r="P47" s="56">
        <v>1</v>
      </c>
      <c r="Q47" s="56">
        <v>0</v>
      </c>
      <c r="R47" s="56">
        <v>0</v>
      </c>
      <c r="S47" s="56">
        <v>0</v>
      </c>
      <c r="T47" s="55" t="s">
        <v>1152</v>
      </c>
      <c r="U47" s="55" t="s">
        <v>1165</v>
      </c>
      <c r="V47" s="55" t="s">
        <v>1146</v>
      </c>
      <c r="W47" s="55" t="s">
        <v>1147</v>
      </c>
      <c r="X47" s="55" t="s">
        <v>1154</v>
      </c>
      <c r="Y47" s="55" t="s">
        <v>1224</v>
      </c>
      <c r="Z47" s="55" t="s">
        <v>1226</v>
      </c>
    </row>
    <row r="48" spans="1:26">
      <c r="A48" s="55" t="s">
        <v>592</v>
      </c>
      <c r="B48" s="55" t="s">
        <v>272</v>
      </c>
      <c r="C48" s="55" t="s">
        <v>1142</v>
      </c>
      <c r="D48" s="55" t="s">
        <v>1143</v>
      </c>
      <c r="E48" s="55" t="s">
        <v>1143</v>
      </c>
      <c r="F48" s="55" t="s">
        <v>73</v>
      </c>
      <c r="G48" s="56">
        <v>1</v>
      </c>
      <c r="H48" s="56">
        <v>1</v>
      </c>
      <c r="I48" s="56">
        <v>0</v>
      </c>
      <c r="J48" s="56">
        <v>18</v>
      </c>
      <c r="K48" s="56">
        <v>0</v>
      </c>
      <c r="L48" s="56">
        <v>691360000</v>
      </c>
      <c r="M48" s="56">
        <v>18292057.13</v>
      </c>
      <c r="N48" s="56">
        <v>105030084.75</v>
      </c>
      <c r="O48" s="56">
        <v>191</v>
      </c>
      <c r="P48" s="56">
        <v>0</v>
      </c>
      <c r="Q48" s="56">
        <v>0</v>
      </c>
      <c r="R48" s="56">
        <v>0</v>
      </c>
      <c r="S48" s="56">
        <v>0</v>
      </c>
      <c r="T48" s="55" t="s">
        <v>1227</v>
      </c>
      <c r="U48" s="55" t="s">
        <v>1145</v>
      </c>
      <c r="V48" s="55" t="s">
        <v>1146</v>
      </c>
      <c r="W48" s="55" t="s">
        <v>1147</v>
      </c>
      <c r="X48" s="55" t="s">
        <v>1228</v>
      </c>
      <c r="Y48" s="55" t="s">
        <v>1224</v>
      </c>
      <c r="Z48" s="55" t="s">
        <v>1229</v>
      </c>
    </row>
    <row r="49" spans="1:26">
      <c r="A49" s="55" t="s">
        <v>593</v>
      </c>
      <c r="B49" s="55" t="s">
        <v>546</v>
      </c>
      <c r="C49" s="55" t="s">
        <v>1151</v>
      </c>
      <c r="D49" s="55" t="s">
        <v>87</v>
      </c>
      <c r="E49" s="55" t="s">
        <v>87</v>
      </c>
      <c r="F49" s="55" t="s">
        <v>75</v>
      </c>
      <c r="G49" s="56">
        <v>5</v>
      </c>
      <c r="H49" s="56">
        <v>5</v>
      </c>
      <c r="I49" s="56">
        <v>152</v>
      </c>
      <c r="J49" s="56">
        <v>47</v>
      </c>
      <c r="K49" s="56">
        <v>1</v>
      </c>
      <c r="L49" s="56">
        <v>530280.21</v>
      </c>
      <c r="M49" s="56">
        <v>490697.01</v>
      </c>
      <c r="N49" s="56">
        <v>647385.21</v>
      </c>
      <c r="O49" s="56">
        <v>22</v>
      </c>
      <c r="P49" s="56">
        <v>0</v>
      </c>
      <c r="Q49" s="56">
        <v>1</v>
      </c>
      <c r="R49" s="56">
        <v>1</v>
      </c>
      <c r="S49" s="56">
        <v>1</v>
      </c>
      <c r="T49" s="55" t="s">
        <v>1152</v>
      </c>
      <c r="U49" s="55" t="s">
        <v>1145</v>
      </c>
      <c r="V49" s="55" t="s">
        <v>1146</v>
      </c>
      <c r="W49" s="55" t="s">
        <v>1168</v>
      </c>
      <c r="X49" s="55" t="s">
        <v>1154</v>
      </c>
      <c r="Y49" s="55" t="s">
        <v>1223</v>
      </c>
      <c r="Z49" s="55" t="s">
        <v>1230</v>
      </c>
    </row>
    <row r="50" spans="1:26">
      <c r="A50" s="55" t="s">
        <v>594</v>
      </c>
      <c r="B50" s="55" t="s">
        <v>272</v>
      </c>
      <c r="C50" s="55" t="s">
        <v>1187</v>
      </c>
      <c r="D50" s="55" t="s">
        <v>1188</v>
      </c>
      <c r="E50" s="55" t="s">
        <v>1188</v>
      </c>
      <c r="F50" s="55" t="s">
        <v>74</v>
      </c>
      <c r="G50" s="56">
        <v>2</v>
      </c>
      <c r="H50" s="56">
        <v>2</v>
      </c>
      <c r="I50" s="56">
        <v>1</v>
      </c>
      <c r="J50" s="56">
        <v>107</v>
      </c>
      <c r="K50" s="56">
        <v>0</v>
      </c>
      <c r="L50" s="56">
        <v>260451188.95</v>
      </c>
      <c r="M50" s="56">
        <v>42207162.36</v>
      </c>
      <c r="N50" s="56">
        <v>212821219.7</v>
      </c>
      <c r="O50" s="56">
        <v>45</v>
      </c>
      <c r="P50" s="56">
        <v>0</v>
      </c>
      <c r="Q50" s="56">
        <v>0</v>
      </c>
      <c r="R50" s="56">
        <v>0</v>
      </c>
      <c r="S50" s="56">
        <v>1</v>
      </c>
      <c r="T50" s="55" t="s">
        <v>1157</v>
      </c>
      <c r="U50" s="55" t="s">
        <v>1145</v>
      </c>
      <c r="V50" s="55" t="s">
        <v>1153</v>
      </c>
      <c r="W50" s="55" t="s">
        <v>1147</v>
      </c>
      <c r="X50" s="55" t="s">
        <v>1154</v>
      </c>
      <c r="Y50" s="55" t="s">
        <v>1231</v>
      </c>
      <c r="Z50" s="55" t="s">
        <v>1230</v>
      </c>
    </row>
    <row r="51" spans="1:26">
      <c r="A51" s="55" t="s">
        <v>595</v>
      </c>
      <c r="B51" s="55" t="s">
        <v>272</v>
      </c>
      <c r="C51" s="55" t="s">
        <v>1142</v>
      </c>
      <c r="D51" s="55" t="s">
        <v>1143</v>
      </c>
      <c r="E51" s="55" t="s">
        <v>1143</v>
      </c>
      <c r="F51" s="55" t="s">
        <v>73</v>
      </c>
      <c r="G51" s="56">
        <v>1</v>
      </c>
      <c r="H51" s="56">
        <v>1</v>
      </c>
      <c r="I51" s="56">
        <v>0</v>
      </c>
      <c r="J51" s="56">
        <v>3</v>
      </c>
      <c r="K51" s="56">
        <v>0</v>
      </c>
      <c r="L51" s="56">
        <v>44700000</v>
      </c>
      <c r="M51" s="56">
        <v>145252.65</v>
      </c>
      <c r="N51" s="56">
        <v>2905053</v>
      </c>
      <c r="O51" s="56">
        <v>131</v>
      </c>
      <c r="P51" s="56">
        <v>0</v>
      </c>
      <c r="Q51" s="56">
        <v>0</v>
      </c>
      <c r="R51" s="56">
        <v>0</v>
      </c>
      <c r="S51" s="56">
        <v>0</v>
      </c>
      <c r="T51" s="55" t="s">
        <v>1152</v>
      </c>
      <c r="U51" s="55" t="s">
        <v>1145</v>
      </c>
      <c r="V51" s="55" t="s">
        <v>1153</v>
      </c>
      <c r="W51" s="55" t="s">
        <v>1147</v>
      </c>
      <c r="X51" s="55" t="s">
        <v>1154</v>
      </c>
      <c r="Y51" s="55" t="s">
        <v>1222</v>
      </c>
      <c r="Z51" s="55" t="s">
        <v>1156</v>
      </c>
    </row>
    <row r="52" spans="1:26">
      <c r="A52" s="55" t="s">
        <v>596</v>
      </c>
      <c r="B52" s="55" t="s">
        <v>272</v>
      </c>
      <c r="C52" s="55" t="s">
        <v>1142</v>
      </c>
      <c r="D52" s="55" t="s">
        <v>1143</v>
      </c>
      <c r="E52" s="55" t="s">
        <v>1143</v>
      </c>
      <c r="F52" s="55" t="s">
        <v>73</v>
      </c>
      <c r="G52" s="56">
        <v>1</v>
      </c>
      <c r="H52" s="56">
        <v>1</v>
      </c>
      <c r="I52" s="56">
        <v>0</v>
      </c>
      <c r="J52" s="56">
        <v>8</v>
      </c>
      <c r="K52" s="56">
        <v>0</v>
      </c>
      <c r="L52" s="56">
        <v>44700000</v>
      </c>
      <c r="M52" s="56">
        <v>140553050.18</v>
      </c>
      <c r="N52" s="56">
        <v>1060841898.97</v>
      </c>
      <c r="O52" s="56">
        <v>91</v>
      </c>
      <c r="P52" s="56">
        <v>0</v>
      </c>
      <c r="Q52" s="56">
        <v>0</v>
      </c>
      <c r="R52" s="56">
        <v>0</v>
      </c>
      <c r="S52" s="56">
        <v>0</v>
      </c>
      <c r="T52" s="55" t="s">
        <v>1227</v>
      </c>
      <c r="U52" s="55" t="s">
        <v>1145</v>
      </c>
      <c r="V52" s="55" t="s">
        <v>1232</v>
      </c>
      <c r="W52" s="55" t="s">
        <v>1147</v>
      </c>
      <c r="X52" s="55" t="s">
        <v>1154</v>
      </c>
      <c r="Y52" s="55" t="s">
        <v>1222</v>
      </c>
      <c r="Z52" s="55" t="s">
        <v>1193</v>
      </c>
    </row>
    <row r="53" spans="1:26">
      <c r="A53" s="55" t="s">
        <v>597</v>
      </c>
      <c r="B53" s="55" t="s">
        <v>272</v>
      </c>
      <c r="C53" s="55" t="s">
        <v>1142</v>
      </c>
      <c r="D53" s="55" t="s">
        <v>1143</v>
      </c>
      <c r="E53" s="55" t="s">
        <v>1143</v>
      </c>
      <c r="F53" s="55" t="s">
        <v>73</v>
      </c>
      <c r="G53" s="56">
        <v>1</v>
      </c>
      <c r="H53" s="56">
        <v>1</v>
      </c>
      <c r="I53" s="56">
        <v>0</v>
      </c>
      <c r="J53" s="56">
        <v>37</v>
      </c>
      <c r="K53" s="56">
        <v>0</v>
      </c>
      <c r="L53" s="56">
        <v>7450000</v>
      </c>
      <c r="M53" s="56">
        <v>467638.84</v>
      </c>
      <c r="N53" s="56">
        <v>0</v>
      </c>
      <c r="O53" s="56">
        <v>59</v>
      </c>
      <c r="P53" s="56">
        <v>0</v>
      </c>
      <c r="Q53" s="56">
        <v>0</v>
      </c>
      <c r="R53" s="56">
        <v>0</v>
      </c>
      <c r="S53" s="56">
        <v>0</v>
      </c>
      <c r="T53" s="55" t="s">
        <v>1157</v>
      </c>
      <c r="U53" s="55" t="s">
        <v>1165</v>
      </c>
      <c r="V53" s="55" t="s">
        <v>1146</v>
      </c>
      <c r="W53" s="55" t="s">
        <v>1147</v>
      </c>
      <c r="X53" s="55" t="s">
        <v>1154</v>
      </c>
      <c r="Y53" s="55" t="s">
        <v>1233</v>
      </c>
      <c r="Z53" s="55" t="s">
        <v>1234</v>
      </c>
    </row>
    <row r="54" spans="1:26">
      <c r="A54" s="55" t="s">
        <v>598</v>
      </c>
      <c r="B54" s="55" t="s">
        <v>272</v>
      </c>
      <c r="C54" s="55" t="s">
        <v>1142</v>
      </c>
      <c r="D54" s="55" t="s">
        <v>1213</v>
      </c>
      <c r="E54" s="55" t="s">
        <v>1214</v>
      </c>
      <c r="F54" s="55" t="s">
        <v>76</v>
      </c>
      <c r="H54" s="56">
        <v>1</v>
      </c>
      <c r="I54" s="56">
        <v>0</v>
      </c>
      <c r="J54" s="56">
        <v>1</v>
      </c>
      <c r="K54" s="56">
        <v>0</v>
      </c>
      <c r="L54" s="56">
        <v>0</v>
      </c>
      <c r="M54" s="56">
        <v>0</v>
      </c>
      <c r="N54" s="56">
        <v>0</v>
      </c>
      <c r="O54" s="56">
        <v>74</v>
      </c>
      <c r="P54" s="56">
        <v>1</v>
      </c>
      <c r="Q54" s="56">
        <v>0</v>
      </c>
      <c r="R54" s="56">
        <v>0</v>
      </c>
      <c r="S54" s="56">
        <v>0</v>
      </c>
      <c r="T54" s="55" t="s">
        <v>1167</v>
      </c>
      <c r="U54" s="55" t="s">
        <v>1165</v>
      </c>
      <c r="V54" s="55" t="s">
        <v>1153</v>
      </c>
      <c r="W54" s="55" t="s">
        <v>1147</v>
      </c>
      <c r="X54" s="55" t="s">
        <v>1154</v>
      </c>
      <c r="Y54" s="55" t="s">
        <v>1235</v>
      </c>
      <c r="Z54" s="55" t="s">
        <v>1185</v>
      </c>
    </row>
    <row r="55" spans="1:26">
      <c r="A55" s="55" t="s">
        <v>599</v>
      </c>
      <c r="B55" s="55" t="s">
        <v>272</v>
      </c>
      <c r="C55" s="55" t="s">
        <v>1187</v>
      </c>
      <c r="D55" s="55" t="s">
        <v>1143</v>
      </c>
      <c r="E55" s="55" t="s">
        <v>1188</v>
      </c>
      <c r="F55" s="55" t="s">
        <v>73</v>
      </c>
      <c r="G55" s="56">
        <v>1</v>
      </c>
      <c r="H55" s="56">
        <v>2</v>
      </c>
      <c r="I55" s="56">
        <v>0</v>
      </c>
      <c r="J55" s="56">
        <v>8</v>
      </c>
      <c r="K55" s="56">
        <v>0</v>
      </c>
      <c r="L55" s="56">
        <v>461900000</v>
      </c>
      <c r="M55" s="56">
        <v>25939.67</v>
      </c>
      <c r="N55" s="56">
        <v>518793.48</v>
      </c>
      <c r="O55" s="56">
        <v>122</v>
      </c>
      <c r="P55" s="56">
        <v>0</v>
      </c>
      <c r="Q55" s="56">
        <v>0</v>
      </c>
      <c r="R55" s="56">
        <v>0</v>
      </c>
      <c r="S55" s="56">
        <v>0</v>
      </c>
      <c r="T55" s="55" t="s">
        <v>1152</v>
      </c>
      <c r="U55" s="55" t="s">
        <v>1145</v>
      </c>
      <c r="V55" s="55" t="s">
        <v>1146</v>
      </c>
      <c r="W55" s="55" t="s">
        <v>1147</v>
      </c>
      <c r="X55" s="55" t="s">
        <v>1154</v>
      </c>
      <c r="Y55" s="55" t="s">
        <v>1199</v>
      </c>
      <c r="Z55" s="55" t="s">
        <v>1229</v>
      </c>
    </row>
    <row r="56" spans="1:26">
      <c r="A56" s="55" t="s">
        <v>600</v>
      </c>
      <c r="B56" s="55" t="s">
        <v>272</v>
      </c>
      <c r="C56" s="55" t="s">
        <v>1236</v>
      </c>
      <c r="D56" s="55" t="s">
        <v>86</v>
      </c>
      <c r="E56" s="55" t="s">
        <v>86</v>
      </c>
      <c r="F56" s="55" t="s">
        <v>75</v>
      </c>
      <c r="G56" s="56">
        <v>4</v>
      </c>
      <c r="H56" s="56">
        <v>4</v>
      </c>
      <c r="I56" s="56">
        <v>26</v>
      </c>
      <c r="J56" s="56">
        <v>8</v>
      </c>
      <c r="K56" s="56">
        <v>0</v>
      </c>
      <c r="L56" s="56">
        <v>0</v>
      </c>
      <c r="M56" s="56">
        <v>3465801.06</v>
      </c>
      <c r="N56" s="56">
        <v>26886362.35</v>
      </c>
      <c r="O56" s="56">
        <v>50</v>
      </c>
      <c r="P56" s="56">
        <v>1</v>
      </c>
      <c r="Q56" s="56">
        <v>0</v>
      </c>
      <c r="R56" s="56">
        <v>1</v>
      </c>
      <c r="S56" s="56">
        <v>1</v>
      </c>
      <c r="T56" s="55" t="s">
        <v>1167</v>
      </c>
      <c r="U56" s="55" t="s">
        <v>1165</v>
      </c>
      <c r="V56" s="55" t="s">
        <v>1146</v>
      </c>
      <c r="W56" s="55" t="s">
        <v>1168</v>
      </c>
      <c r="X56" s="55" t="s">
        <v>1159</v>
      </c>
      <c r="Y56" s="55" t="s">
        <v>1237</v>
      </c>
      <c r="Z56" s="55" t="s">
        <v>1185</v>
      </c>
    </row>
    <row r="57" spans="1:26">
      <c r="A57" s="55" t="s">
        <v>601</v>
      </c>
      <c r="B57" s="55" t="s">
        <v>272</v>
      </c>
      <c r="C57" s="55" t="s">
        <v>1142</v>
      </c>
      <c r="D57" s="55" t="s">
        <v>1143</v>
      </c>
      <c r="E57" s="55" t="s">
        <v>1143</v>
      </c>
      <c r="F57" s="55" t="s">
        <v>73</v>
      </c>
      <c r="G57" s="56">
        <v>1</v>
      </c>
      <c r="H57" s="56">
        <v>1</v>
      </c>
      <c r="I57" s="56">
        <v>0</v>
      </c>
      <c r="J57" s="56">
        <v>4</v>
      </c>
      <c r="K57" s="56">
        <v>0</v>
      </c>
      <c r="L57" s="56">
        <v>29800000</v>
      </c>
      <c r="M57" s="56">
        <v>415915.08</v>
      </c>
      <c r="N57" s="56">
        <v>8318301.52</v>
      </c>
      <c r="O57" s="56">
        <v>110</v>
      </c>
      <c r="P57" s="56">
        <v>0</v>
      </c>
      <c r="Q57" s="56">
        <v>0</v>
      </c>
      <c r="R57" s="56">
        <v>0</v>
      </c>
      <c r="S57" s="56">
        <v>0</v>
      </c>
      <c r="T57" s="55" t="s">
        <v>1167</v>
      </c>
      <c r="U57" s="55" t="s">
        <v>1165</v>
      </c>
      <c r="V57" s="55" t="s">
        <v>1153</v>
      </c>
      <c r="W57" s="55" t="s">
        <v>1147</v>
      </c>
      <c r="X57" s="55" t="s">
        <v>1154</v>
      </c>
      <c r="Y57" s="55" t="s">
        <v>1237</v>
      </c>
      <c r="Z57" s="55" t="s">
        <v>1156</v>
      </c>
    </row>
    <row r="58" spans="1:26">
      <c r="A58" s="55" t="s">
        <v>602</v>
      </c>
      <c r="B58" s="55" t="s">
        <v>272</v>
      </c>
      <c r="C58" s="55" t="s">
        <v>1142</v>
      </c>
      <c r="D58" s="55" t="s">
        <v>1143</v>
      </c>
      <c r="E58" s="55" t="s">
        <v>1143</v>
      </c>
      <c r="F58" s="55" t="s">
        <v>73</v>
      </c>
      <c r="G58" s="56">
        <v>1</v>
      </c>
      <c r="H58" s="56">
        <v>1</v>
      </c>
      <c r="I58" s="56">
        <v>0</v>
      </c>
      <c r="J58" s="56">
        <v>1</v>
      </c>
      <c r="K58" s="56">
        <v>0</v>
      </c>
      <c r="L58" s="56">
        <v>8940000</v>
      </c>
      <c r="M58" s="56">
        <v>0</v>
      </c>
      <c r="N58" s="56">
        <v>0</v>
      </c>
      <c r="O58" s="56">
        <v>122</v>
      </c>
      <c r="P58" s="56">
        <v>0</v>
      </c>
      <c r="Q58" s="56">
        <v>0</v>
      </c>
      <c r="R58" s="56">
        <v>0</v>
      </c>
      <c r="S58" s="56">
        <v>0</v>
      </c>
      <c r="T58" s="55" t="s">
        <v>1167</v>
      </c>
      <c r="U58" s="55" t="s">
        <v>1145</v>
      </c>
      <c r="V58" s="55" t="s">
        <v>1153</v>
      </c>
      <c r="W58" s="55" t="s">
        <v>1147</v>
      </c>
      <c r="X58" s="55" t="s">
        <v>1154</v>
      </c>
      <c r="Y58" s="55" t="s">
        <v>1237</v>
      </c>
      <c r="Z58" s="55" t="s">
        <v>1170</v>
      </c>
    </row>
    <row r="59" spans="1:26">
      <c r="A59" s="55" t="s">
        <v>603</v>
      </c>
      <c r="B59" s="55" t="s">
        <v>272</v>
      </c>
      <c r="C59" s="55" t="s">
        <v>1142</v>
      </c>
      <c r="D59" s="55" t="s">
        <v>1143</v>
      </c>
      <c r="E59" s="55" t="s">
        <v>1143</v>
      </c>
      <c r="F59" s="55" t="s">
        <v>73</v>
      </c>
      <c r="G59" s="56">
        <v>1</v>
      </c>
      <c r="H59" s="56">
        <v>1</v>
      </c>
      <c r="I59" s="56">
        <v>0</v>
      </c>
      <c r="J59" s="56">
        <v>1</v>
      </c>
      <c r="K59" s="56">
        <v>0</v>
      </c>
      <c r="L59" s="56">
        <v>298000000</v>
      </c>
      <c r="M59" s="56">
        <v>7384440.06</v>
      </c>
      <c r="N59" s="56">
        <v>147688801.1</v>
      </c>
      <c r="O59" s="56">
        <v>45</v>
      </c>
      <c r="P59" s="56">
        <v>0</v>
      </c>
      <c r="Q59" s="56">
        <v>0</v>
      </c>
      <c r="R59" s="56">
        <v>0</v>
      </c>
      <c r="S59" s="56">
        <v>0</v>
      </c>
      <c r="T59" s="55" t="s">
        <v>1157</v>
      </c>
      <c r="U59" s="55" t="s">
        <v>1145</v>
      </c>
      <c r="V59" s="55" t="s">
        <v>1153</v>
      </c>
      <c r="W59" s="55" t="s">
        <v>1180</v>
      </c>
      <c r="X59" s="55" t="s">
        <v>1154</v>
      </c>
      <c r="Y59" s="55" t="s">
        <v>1199</v>
      </c>
      <c r="Z59" s="55" t="s">
        <v>1238</v>
      </c>
    </row>
    <row r="60" spans="1:26">
      <c r="A60" s="55" t="s">
        <v>604</v>
      </c>
      <c r="B60" s="55" t="s">
        <v>272</v>
      </c>
      <c r="C60" s="55" t="s">
        <v>1142</v>
      </c>
      <c r="D60" s="55" t="s">
        <v>1143</v>
      </c>
      <c r="E60" s="55" t="s">
        <v>1143</v>
      </c>
      <c r="F60" s="55" t="s">
        <v>73</v>
      </c>
      <c r="G60" s="56">
        <v>1</v>
      </c>
      <c r="H60" s="56">
        <v>1</v>
      </c>
      <c r="I60" s="56">
        <v>0</v>
      </c>
      <c r="J60" s="56">
        <v>5</v>
      </c>
      <c r="K60" s="56">
        <v>0</v>
      </c>
      <c r="L60" s="56">
        <v>19370000</v>
      </c>
      <c r="M60" s="56">
        <v>135607.39</v>
      </c>
      <c r="N60" s="56">
        <v>2712147.86</v>
      </c>
      <c r="O60" s="56">
        <v>20</v>
      </c>
      <c r="P60" s="56">
        <v>0</v>
      </c>
      <c r="Q60" s="56">
        <v>0</v>
      </c>
      <c r="R60" s="56">
        <v>0</v>
      </c>
      <c r="S60" s="56">
        <v>0</v>
      </c>
      <c r="T60" s="55" t="s">
        <v>1157</v>
      </c>
      <c r="U60" s="55" t="s">
        <v>1145</v>
      </c>
      <c r="V60" s="55" t="s">
        <v>1153</v>
      </c>
      <c r="W60" s="55" t="s">
        <v>1147</v>
      </c>
      <c r="X60" s="55" t="s">
        <v>1154</v>
      </c>
      <c r="Y60" s="55" t="s">
        <v>1206</v>
      </c>
      <c r="Z60" s="55" t="s">
        <v>1239</v>
      </c>
    </row>
    <row r="61" spans="1:26">
      <c r="A61" s="55" t="s">
        <v>605</v>
      </c>
      <c r="B61" s="55" t="s">
        <v>272</v>
      </c>
      <c r="C61" s="55" t="s">
        <v>1142</v>
      </c>
      <c r="D61" s="55" t="s">
        <v>1143</v>
      </c>
      <c r="E61" s="55" t="s">
        <v>1143</v>
      </c>
      <c r="F61" s="55" t="s">
        <v>73</v>
      </c>
      <c r="G61" s="56">
        <v>1</v>
      </c>
      <c r="H61" s="56">
        <v>1</v>
      </c>
      <c r="I61" s="56">
        <v>0</v>
      </c>
      <c r="J61" s="56">
        <v>5</v>
      </c>
      <c r="K61" s="56">
        <v>0</v>
      </c>
      <c r="L61" s="56">
        <v>7450000</v>
      </c>
      <c r="M61" s="56">
        <v>3329745.72</v>
      </c>
      <c r="N61" s="56">
        <v>1698853.89</v>
      </c>
      <c r="O61" s="56">
        <v>16</v>
      </c>
      <c r="P61" s="56">
        <v>0</v>
      </c>
      <c r="Q61" s="56">
        <v>0</v>
      </c>
      <c r="R61" s="56">
        <v>0</v>
      </c>
      <c r="S61" s="56">
        <v>0</v>
      </c>
      <c r="T61" s="55" t="s">
        <v>1157</v>
      </c>
      <c r="U61" s="55" t="s">
        <v>1145</v>
      </c>
      <c r="V61" s="55" t="s">
        <v>1153</v>
      </c>
      <c r="W61" s="55" t="s">
        <v>1168</v>
      </c>
      <c r="X61" s="55" t="s">
        <v>1154</v>
      </c>
      <c r="Y61" s="55" t="s">
        <v>1240</v>
      </c>
      <c r="Z61" s="55" t="s">
        <v>1226</v>
      </c>
    </row>
    <row r="62" spans="1:26">
      <c r="A62" s="55" t="s">
        <v>606</v>
      </c>
      <c r="B62" s="55" t="s">
        <v>272</v>
      </c>
      <c r="C62" s="55" t="s">
        <v>1142</v>
      </c>
      <c r="D62" s="55" t="s">
        <v>1143</v>
      </c>
      <c r="E62" s="55" t="s">
        <v>1143</v>
      </c>
      <c r="F62" s="55" t="s">
        <v>73</v>
      </c>
      <c r="G62" s="56">
        <v>1</v>
      </c>
      <c r="H62" s="56">
        <v>1</v>
      </c>
      <c r="I62" s="56">
        <v>0</v>
      </c>
      <c r="J62" s="56">
        <v>1</v>
      </c>
      <c r="K62" s="56">
        <v>0</v>
      </c>
      <c r="L62" s="56">
        <v>29800000</v>
      </c>
      <c r="M62" s="56">
        <v>0</v>
      </c>
      <c r="N62" s="56">
        <v>0</v>
      </c>
      <c r="O62" s="56">
        <v>62</v>
      </c>
      <c r="P62" s="56">
        <v>0</v>
      </c>
      <c r="Q62" s="56">
        <v>0</v>
      </c>
      <c r="R62" s="56">
        <v>0</v>
      </c>
      <c r="S62" s="56">
        <v>0</v>
      </c>
      <c r="T62" s="55" t="s">
        <v>1167</v>
      </c>
      <c r="U62" s="55" t="s">
        <v>1165</v>
      </c>
      <c r="V62" s="55" t="s">
        <v>1146</v>
      </c>
      <c r="W62" s="55" t="s">
        <v>1180</v>
      </c>
      <c r="X62" s="55" t="s">
        <v>1154</v>
      </c>
      <c r="Y62" s="55" t="s">
        <v>1241</v>
      </c>
      <c r="Z62" s="55" t="s">
        <v>1242</v>
      </c>
    </row>
    <row r="63" spans="1:26">
      <c r="A63" s="55" t="s">
        <v>607</v>
      </c>
      <c r="B63" s="55" t="s">
        <v>272</v>
      </c>
      <c r="C63" s="55" t="s">
        <v>1187</v>
      </c>
      <c r="D63" s="55" t="s">
        <v>1188</v>
      </c>
      <c r="E63" s="55" t="s">
        <v>1188</v>
      </c>
      <c r="F63" s="55" t="s">
        <v>74</v>
      </c>
      <c r="G63" s="56">
        <v>2</v>
      </c>
      <c r="H63" s="56">
        <v>2</v>
      </c>
      <c r="I63" s="56">
        <v>5</v>
      </c>
      <c r="J63" s="56">
        <v>145</v>
      </c>
      <c r="K63" s="56">
        <v>0</v>
      </c>
      <c r="L63" s="56">
        <v>60963145.35</v>
      </c>
      <c r="M63" s="56">
        <v>175904947.09</v>
      </c>
      <c r="N63" s="56">
        <v>1528631609.46</v>
      </c>
      <c r="O63" s="56">
        <v>31</v>
      </c>
      <c r="P63" s="56">
        <v>0</v>
      </c>
      <c r="Q63" s="56">
        <v>0</v>
      </c>
      <c r="R63" s="56">
        <v>0</v>
      </c>
      <c r="S63" s="56">
        <v>1</v>
      </c>
      <c r="T63" s="55" t="s">
        <v>1173</v>
      </c>
      <c r="U63" s="55" t="s">
        <v>1145</v>
      </c>
      <c r="V63" s="55" t="s">
        <v>1146</v>
      </c>
      <c r="W63" s="55" t="s">
        <v>1180</v>
      </c>
      <c r="X63" s="55" t="s">
        <v>1154</v>
      </c>
      <c r="Y63" s="55" t="s">
        <v>1243</v>
      </c>
      <c r="Z63" s="55" t="s">
        <v>1244</v>
      </c>
    </row>
    <row r="64" spans="1:26">
      <c r="A64" s="55" t="s">
        <v>608</v>
      </c>
      <c r="B64" s="55" t="s">
        <v>272</v>
      </c>
      <c r="C64" s="55" t="s">
        <v>1142</v>
      </c>
      <c r="D64" s="55" t="s">
        <v>1143</v>
      </c>
      <c r="E64" s="55" t="s">
        <v>1143</v>
      </c>
      <c r="F64" s="55" t="s">
        <v>73</v>
      </c>
      <c r="G64" s="56">
        <v>1</v>
      </c>
      <c r="H64" s="56">
        <v>1</v>
      </c>
      <c r="I64" s="56">
        <v>0</v>
      </c>
      <c r="J64" s="56">
        <v>51</v>
      </c>
      <c r="K64" s="56">
        <v>0</v>
      </c>
      <c r="L64" s="56">
        <v>1280726.46</v>
      </c>
      <c r="M64" s="56">
        <v>717398.53</v>
      </c>
      <c r="N64" s="56">
        <v>1660996.46</v>
      </c>
      <c r="O64" s="56">
        <v>27</v>
      </c>
      <c r="P64" s="56">
        <v>0</v>
      </c>
      <c r="Q64" s="56">
        <v>0</v>
      </c>
      <c r="R64" s="56">
        <v>0</v>
      </c>
      <c r="S64" s="56">
        <v>0</v>
      </c>
      <c r="T64" s="55" t="s">
        <v>1157</v>
      </c>
      <c r="U64" s="55" t="s">
        <v>1145</v>
      </c>
      <c r="V64" s="55" t="s">
        <v>1153</v>
      </c>
      <c r="W64" s="55" t="s">
        <v>1147</v>
      </c>
      <c r="X64" s="55" t="s">
        <v>1148</v>
      </c>
      <c r="Y64" s="55" t="s">
        <v>1245</v>
      </c>
      <c r="Z64" s="55" t="s">
        <v>1185</v>
      </c>
    </row>
    <row r="65" spans="1:26">
      <c r="A65" s="55" t="s">
        <v>609</v>
      </c>
      <c r="B65" s="55" t="s">
        <v>272</v>
      </c>
      <c r="C65" s="55" t="s">
        <v>1142</v>
      </c>
      <c r="D65" s="55" t="s">
        <v>1213</v>
      </c>
      <c r="E65" s="55" t="s">
        <v>1214</v>
      </c>
      <c r="F65" s="55" t="s">
        <v>76</v>
      </c>
      <c r="H65" s="56">
        <v>1</v>
      </c>
      <c r="I65" s="56">
        <v>0</v>
      </c>
      <c r="J65" s="56">
        <v>1</v>
      </c>
      <c r="K65" s="56">
        <v>0</v>
      </c>
      <c r="L65" s="56">
        <v>0</v>
      </c>
      <c r="M65" s="56">
        <v>0</v>
      </c>
      <c r="N65" s="56">
        <v>0</v>
      </c>
      <c r="O65" s="56">
        <v>124</v>
      </c>
      <c r="P65" s="56">
        <v>1</v>
      </c>
      <c r="Q65" s="56">
        <v>0</v>
      </c>
      <c r="R65" s="56">
        <v>0</v>
      </c>
      <c r="S65" s="56">
        <v>0</v>
      </c>
      <c r="T65" s="55" t="s">
        <v>1157</v>
      </c>
      <c r="U65" s="55" t="s">
        <v>1145</v>
      </c>
      <c r="V65" s="55" t="s">
        <v>1146</v>
      </c>
      <c r="W65" s="55" t="s">
        <v>1168</v>
      </c>
      <c r="X65" s="55" t="s">
        <v>1148</v>
      </c>
      <c r="Y65" s="55" t="s">
        <v>1246</v>
      </c>
      <c r="Z65" s="55" t="s">
        <v>1193</v>
      </c>
    </row>
    <row r="66" spans="1:26">
      <c r="A66" s="55" t="s">
        <v>610</v>
      </c>
      <c r="B66" s="55" t="s">
        <v>272</v>
      </c>
      <c r="C66" s="55" t="s">
        <v>1142</v>
      </c>
      <c r="D66" s="55" t="s">
        <v>1143</v>
      </c>
      <c r="E66" s="55" t="s">
        <v>1143</v>
      </c>
      <c r="F66" s="55" t="s">
        <v>73</v>
      </c>
      <c r="G66" s="56">
        <v>1</v>
      </c>
      <c r="H66" s="56">
        <v>1</v>
      </c>
      <c r="I66" s="56">
        <v>0</v>
      </c>
      <c r="J66" s="56">
        <v>100</v>
      </c>
      <c r="K66" s="56">
        <v>0</v>
      </c>
      <c r="L66" s="56">
        <v>4264174</v>
      </c>
      <c r="M66" s="56">
        <v>5217867.12</v>
      </c>
      <c r="N66" s="56">
        <v>4264174</v>
      </c>
      <c r="O66" s="56">
        <v>34</v>
      </c>
      <c r="P66" s="56">
        <v>0</v>
      </c>
      <c r="Q66" s="56">
        <v>0</v>
      </c>
      <c r="R66" s="56">
        <v>0</v>
      </c>
      <c r="S66" s="56">
        <v>0</v>
      </c>
      <c r="T66" s="55" t="s">
        <v>1167</v>
      </c>
      <c r="U66" s="55" t="s">
        <v>1165</v>
      </c>
      <c r="V66" s="55" t="s">
        <v>1153</v>
      </c>
      <c r="W66" s="55" t="s">
        <v>1180</v>
      </c>
      <c r="X66" s="55" t="s">
        <v>1154</v>
      </c>
      <c r="Y66" s="55" t="s">
        <v>1247</v>
      </c>
      <c r="Z66" s="55" t="s">
        <v>1193</v>
      </c>
    </row>
    <row r="67" spans="1:26">
      <c r="A67" s="55" t="s">
        <v>611</v>
      </c>
      <c r="B67" s="55" t="s">
        <v>272</v>
      </c>
      <c r="C67" s="55" t="s">
        <v>1142</v>
      </c>
      <c r="D67" s="55" t="s">
        <v>1143</v>
      </c>
      <c r="E67" s="55" t="s">
        <v>1143</v>
      </c>
      <c r="F67" s="55" t="s">
        <v>73</v>
      </c>
      <c r="G67" s="56">
        <v>1</v>
      </c>
      <c r="H67" s="56">
        <v>1</v>
      </c>
      <c r="I67" s="56">
        <v>0</v>
      </c>
      <c r="J67" s="56">
        <v>2</v>
      </c>
      <c r="K67" s="56">
        <v>0</v>
      </c>
      <c r="L67" s="56">
        <v>51405000</v>
      </c>
      <c r="M67" s="56">
        <v>182562.45</v>
      </c>
      <c r="N67" s="56">
        <v>3651249</v>
      </c>
      <c r="O67" s="56">
        <v>20</v>
      </c>
      <c r="P67" s="56">
        <v>0</v>
      </c>
      <c r="Q67" s="56">
        <v>0</v>
      </c>
      <c r="R67" s="56">
        <v>0</v>
      </c>
      <c r="S67" s="56">
        <v>0</v>
      </c>
      <c r="T67" s="55" t="s">
        <v>1144</v>
      </c>
      <c r="U67" s="55" t="s">
        <v>1145</v>
      </c>
      <c r="V67" s="55" t="s">
        <v>1146</v>
      </c>
      <c r="W67" s="55" t="s">
        <v>1168</v>
      </c>
      <c r="X67" s="55" t="s">
        <v>1159</v>
      </c>
      <c r="Y67" s="55" t="s">
        <v>1248</v>
      </c>
      <c r="Z67" s="55" t="s">
        <v>1166</v>
      </c>
    </row>
    <row r="68" spans="1:26">
      <c r="A68" s="55" t="s">
        <v>612</v>
      </c>
      <c r="B68" s="55" t="s">
        <v>272</v>
      </c>
      <c r="C68" s="55" t="s">
        <v>1142</v>
      </c>
      <c r="D68" s="55" t="s">
        <v>1143</v>
      </c>
      <c r="E68" s="55" t="s">
        <v>1143</v>
      </c>
      <c r="F68" s="55" t="s">
        <v>73</v>
      </c>
      <c r="G68" s="56">
        <v>1</v>
      </c>
      <c r="H68" s="56">
        <v>1</v>
      </c>
      <c r="I68" s="56">
        <v>0</v>
      </c>
      <c r="J68" s="56">
        <v>1</v>
      </c>
      <c r="K68" s="56">
        <v>0</v>
      </c>
      <c r="L68" s="56">
        <v>32780000</v>
      </c>
      <c r="M68" s="56">
        <v>419976.62</v>
      </c>
      <c r="N68" s="56">
        <v>8399532.4</v>
      </c>
      <c r="O68" s="56">
        <v>4</v>
      </c>
      <c r="P68" s="56">
        <v>0</v>
      </c>
      <c r="Q68" s="56">
        <v>0</v>
      </c>
      <c r="R68" s="56">
        <v>0</v>
      </c>
      <c r="S68" s="56">
        <v>0</v>
      </c>
      <c r="T68" s="55" t="s">
        <v>1157</v>
      </c>
      <c r="U68" s="55" t="s">
        <v>1165</v>
      </c>
      <c r="V68" s="55" t="s">
        <v>1153</v>
      </c>
      <c r="W68" s="55" t="s">
        <v>1181</v>
      </c>
      <c r="X68" s="55" t="s">
        <v>1154</v>
      </c>
      <c r="Y68" s="55" t="s">
        <v>1248</v>
      </c>
      <c r="Z68" s="55" t="s">
        <v>1166</v>
      </c>
    </row>
    <row r="69" spans="1:26">
      <c r="A69" s="55" t="s">
        <v>613</v>
      </c>
      <c r="B69" s="55" t="s">
        <v>272</v>
      </c>
      <c r="C69" s="55" t="s">
        <v>1236</v>
      </c>
      <c r="D69" s="55" t="s">
        <v>86</v>
      </c>
      <c r="E69" s="55" t="s">
        <v>86</v>
      </c>
      <c r="F69" s="55" t="s">
        <v>75</v>
      </c>
      <c r="G69" s="56">
        <v>4</v>
      </c>
      <c r="H69" s="56">
        <v>4</v>
      </c>
      <c r="I69" s="56">
        <v>0</v>
      </c>
      <c r="J69" s="56">
        <v>35</v>
      </c>
      <c r="K69" s="56">
        <v>0</v>
      </c>
      <c r="L69" s="56">
        <v>2113041.92</v>
      </c>
      <c r="M69" s="56">
        <v>746559.3100000001</v>
      </c>
      <c r="N69" s="56">
        <v>2113041.92</v>
      </c>
      <c r="O69" s="56">
        <v>44</v>
      </c>
      <c r="P69" s="56">
        <v>0</v>
      </c>
      <c r="Q69" s="56">
        <v>0</v>
      </c>
      <c r="R69" s="56">
        <v>1</v>
      </c>
      <c r="S69" s="56">
        <v>0</v>
      </c>
      <c r="T69" s="55" t="s">
        <v>1173</v>
      </c>
      <c r="U69" s="55" t="s">
        <v>1165</v>
      </c>
      <c r="V69" s="55" t="s">
        <v>1146</v>
      </c>
      <c r="W69" s="55" t="s">
        <v>1180</v>
      </c>
      <c r="X69" s="55" t="s">
        <v>1154</v>
      </c>
      <c r="Y69" s="55" t="s">
        <v>1248</v>
      </c>
      <c r="Z69" s="55" t="s">
        <v>1193</v>
      </c>
    </row>
    <row r="70" spans="1:26">
      <c r="A70" s="55" t="s">
        <v>614</v>
      </c>
      <c r="B70" s="55" t="s">
        <v>546</v>
      </c>
      <c r="C70" s="55" t="s">
        <v>1151</v>
      </c>
      <c r="D70" s="55" t="s">
        <v>87</v>
      </c>
      <c r="E70" s="55" t="s">
        <v>87</v>
      </c>
      <c r="F70" s="55" t="s">
        <v>75</v>
      </c>
      <c r="G70" s="56">
        <v>5</v>
      </c>
      <c r="H70" s="56">
        <v>5</v>
      </c>
      <c r="I70" s="56">
        <v>894</v>
      </c>
      <c r="J70" s="56">
        <v>134</v>
      </c>
      <c r="K70" s="56">
        <v>0</v>
      </c>
      <c r="L70" s="56">
        <v>3132798.75</v>
      </c>
      <c r="M70" s="56">
        <v>3666483.93</v>
      </c>
      <c r="N70" s="56">
        <v>18347144.05</v>
      </c>
      <c r="O70" s="56">
        <v>66</v>
      </c>
      <c r="P70" s="56">
        <v>0</v>
      </c>
      <c r="Q70" s="56">
        <v>0</v>
      </c>
      <c r="R70" s="56">
        <v>1</v>
      </c>
      <c r="S70" s="56">
        <v>1</v>
      </c>
      <c r="T70" s="55" t="s">
        <v>1157</v>
      </c>
      <c r="U70" s="55" t="s">
        <v>1165</v>
      </c>
      <c r="V70" s="55" t="s">
        <v>1153</v>
      </c>
      <c r="W70" s="55" t="s">
        <v>1168</v>
      </c>
      <c r="X70" s="55" t="s">
        <v>1163</v>
      </c>
      <c r="Y70" s="55" t="s">
        <v>1248</v>
      </c>
      <c r="Z70" s="55" t="s">
        <v>1156</v>
      </c>
    </row>
    <row r="71" spans="1:26">
      <c r="A71" s="55" t="s">
        <v>615</v>
      </c>
      <c r="B71" s="55" t="s">
        <v>272</v>
      </c>
      <c r="C71" s="55" t="s">
        <v>1142</v>
      </c>
      <c r="D71" s="55" t="s">
        <v>1143</v>
      </c>
      <c r="E71" s="55" t="s">
        <v>1143</v>
      </c>
      <c r="F71" s="55" t="s">
        <v>73</v>
      </c>
      <c r="G71" s="56">
        <v>1</v>
      </c>
      <c r="H71" s="56">
        <v>1</v>
      </c>
      <c r="I71" s="56">
        <v>0</v>
      </c>
      <c r="J71" s="56">
        <v>22</v>
      </c>
      <c r="K71" s="56">
        <v>0</v>
      </c>
      <c r="L71" s="56">
        <v>49170000</v>
      </c>
      <c r="M71" s="56">
        <v>0</v>
      </c>
      <c r="N71" s="56">
        <v>0</v>
      </c>
      <c r="O71" s="56">
        <v>96</v>
      </c>
      <c r="P71" s="56">
        <v>0</v>
      </c>
      <c r="Q71" s="56">
        <v>0</v>
      </c>
      <c r="R71" s="56">
        <v>0</v>
      </c>
      <c r="S71" s="56">
        <v>0</v>
      </c>
      <c r="T71" s="55" t="s">
        <v>1167</v>
      </c>
      <c r="U71" s="55" t="s">
        <v>1165</v>
      </c>
      <c r="V71" s="55" t="s">
        <v>1146</v>
      </c>
      <c r="W71" s="55" t="s">
        <v>1147</v>
      </c>
      <c r="X71" s="55" t="s">
        <v>1154</v>
      </c>
      <c r="Y71" s="55" t="s">
        <v>1210</v>
      </c>
      <c r="Z71" s="55" t="s">
        <v>1185</v>
      </c>
    </row>
    <row r="72" spans="1:26">
      <c r="A72" s="55" t="s">
        <v>616</v>
      </c>
      <c r="B72" s="55" t="s">
        <v>272</v>
      </c>
      <c r="C72" s="55" t="s">
        <v>1142</v>
      </c>
      <c r="D72" s="55" t="s">
        <v>1143</v>
      </c>
      <c r="E72" s="55" t="s">
        <v>1143</v>
      </c>
      <c r="F72" s="55" t="s">
        <v>73</v>
      </c>
      <c r="G72" s="56">
        <v>1</v>
      </c>
      <c r="H72" s="56">
        <v>1</v>
      </c>
      <c r="I72" s="56">
        <v>0</v>
      </c>
      <c r="J72" s="56">
        <v>3</v>
      </c>
      <c r="K72" s="56">
        <v>0</v>
      </c>
      <c r="L72" s="56">
        <v>149000000</v>
      </c>
      <c r="M72" s="56">
        <v>21128.4</v>
      </c>
      <c r="N72" s="56">
        <v>422568</v>
      </c>
      <c r="O72" s="56">
        <v>28</v>
      </c>
      <c r="P72" s="56">
        <v>0</v>
      </c>
      <c r="Q72" s="56">
        <v>0</v>
      </c>
      <c r="R72" s="56">
        <v>0</v>
      </c>
      <c r="S72" s="56">
        <v>0</v>
      </c>
      <c r="T72" s="55" t="s">
        <v>1157</v>
      </c>
      <c r="U72" s="55" t="s">
        <v>1145</v>
      </c>
      <c r="V72" s="55" t="s">
        <v>1153</v>
      </c>
      <c r="W72" s="55" t="s">
        <v>1147</v>
      </c>
      <c r="X72" s="55" t="s">
        <v>1159</v>
      </c>
      <c r="Y72" s="55" t="s">
        <v>1249</v>
      </c>
      <c r="Z72" s="55" t="s">
        <v>1182</v>
      </c>
    </row>
    <row r="73" spans="1:26">
      <c r="A73" s="55" t="s">
        <v>617</v>
      </c>
      <c r="B73" s="55" t="s">
        <v>272</v>
      </c>
      <c r="C73" s="55" t="s">
        <v>1142</v>
      </c>
      <c r="D73" s="55" t="s">
        <v>1143</v>
      </c>
      <c r="E73" s="55" t="s">
        <v>1143</v>
      </c>
      <c r="F73" s="55" t="s">
        <v>73</v>
      </c>
      <c r="G73" s="56">
        <v>1</v>
      </c>
      <c r="H73" s="56">
        <v>1</v>
      </c>
      <c r="I73" s="56">
        <v>0</v>
      </c>
      <c r="J73" s="56">
        <v>81</v>
      </c>
      <c r="K73" s="56">
        <v>0</v>
      </c>
      <c r="L73" s="56">
        <v>2234450.03</v>
      </c>
      <c r="M73" s="56">
        <v>1549007.57</v>
      </c>
      <c r="N73" s="56">
        <v>3217801.03</v>
      </c>
      <c r="O73" s="56">
        <v>37</v>
      </c>
      <c r="P73" s="56">
        <v>0</v>
      </c>
      <c r="Q73" s="56">
        <v>0</v>
      </c>
      <c r="R73" s="56">
        <v>0</v>
      </c>
      <c r="S73" s="56">
        <v>0</v>
      </c>
      <c r="T73" s="55" t="s">
        <v>1167</v>
      </c>
      <c r="U73" s="55" t="s">
        <v>1165</v>
      </c>
      <c r="V73" s="55" t="s">
        <v>1146</v>
      </c>
      <c r="W73" s="55" t="s">
        <v>1147</v>
      </c>
      <c r="X73" s="55" t="s">
        <v>1159</v>
      </c>
      <c r="Y73" s="55" t="s">
        <v>1155</v>
      </c>
      <c r="Z73" s="55" t="s">
        <v>1250</v>
      </c>
    </row>
    <row r="74" spans="1:26">
      <c r="A74" s="55" t="s">
        <v>618</v>
      </c>
      <c r="B74" s="55" t="s">
        <v>272</v>
      </c>
      <c r="C74" s="55" t="s">
        <v>1142</v>
      </c>
      <c r="D74" s="55" t="s">
        <v>1143</v>
      </c>
      <c r="E74" s="55" t="s">
        <v>1143</v>
      </c>
      <c r="F74" s="55" t="s">
        <v>73</v>
      </c>
      <c r="G74" s="56">
        <v>1</v>
      </c>
      <c r="H74" s="56">
        <v>1</v>
      </c>
      <c r="I74" s="56">
        <v>0</v>
      </c>
      <c r="J74" s="56">
        <v>1</v>
      </c>
      <c r="K74" s="56">
        <v>0</v>
      </c>
      <c r="L74" s="56">
        <v>17880000</v>
      </c>
      <c r="M74" s="56">
        <v>0</v>
      </c>
      <c r="N74" s="56">
        <v>0</v>
      </c>
      <c r="O74" s="56">
        <v>2</v>
      </c>
      <c r="P74" s="56">
        <v>0</v>
      </c>
      <c r="Q74" s="56">
        <v>0</v>
      </c>
      <c r="R74" s="56">
        <v>0</v>
      </c>
      <c r="S74" s="56">
        <v>0</v>
      </c>
      <c r="T74" s="55" t="s">
        <v>1157</v>
      </c>
      <c r="U74" s="55" t="s">
        <v>1145</v>
      </c>
      <c r="V74" s="55" t="s">
        <v>1146</v>
      </c>
      <c r="W74" s="55" t="s">
        <v>1181</v>
      </c>
      <c r="X74" s="55" t="s">
        <v>1154</v>
      </c>
      <c r="Y74" s="55" t="s">
        <v>1225</v>
      </c>
      <c r="Z74" s="55" t="s">
        <v>1166</v>
      </c>
    </row>
    <row r="75" spans="1:26">
      <c r="A75" s="55" t="s">
        <v>619</v>
      </c>
      <c r="B75" s="55" t="s">
        <v>272</v>
      </c>
      <c r="C75" s="55" t="s">
        <v>1142</v>
      </c>
      <c r="D75" s="55" t="s">
        <v>1143</v>
      </c>
      <c r="E75" s="55" t="s">
        <v>1143</v>
      </c>
      <c r="F75" s="55" t="s">
        <v>73</v>
      </c>
      <c r="G75" s="56">
        <v>1</v>
      </c>
      <c r="H75" s="56">
        <v>1</v>
      </c>
      <c r="I75" s="56">
        <v>0</v>
      </c>
      <c r="J75" s="56">
        <v>60</v>
      </c>
      <c r="K75" s="56">
        <v>0</v>
      </c>
      <c r="L75" s="56">
        <v>29800000</v>
      </c>
      <c r="M75" s="56">
        <v>344762.96</v>
      </c>
      <c r="N75" s="56">
        <v>6895259.22</v>
      </c>
      <c r="O75" s="56">
        <v>64</v>
      </c>
      <c r="P75" s="56">
        <v>0</v>
      </c>
      <c r="Q75" s="56">
        <v>0</v>
      </c>
      <c r="R75" s="56">
        <v>0</v>
      </c>
      <c r="S75" s="56">
        <v>0</v>
      </c>
      <c r="T75" s="55" t="s">
        <v>1157</v>
      </c>
      <c r="U75" s="55" t="s">
        <v>1165</v>
      </c>
      <c r="V75" s="55" t="s">
        <v>1153</v>
      </c>
      <c r="W75" s="55" t="s">
        <v>1180</v>
      </c>
      <c r="X75" s="55" t="s">
        <v>1154</v>
      </c>
      <c r="Y75" s="55" t="s">
        <v>1225</v>
      </c>
      <c r="Z75" s="55" t="s">
        <v>1196</v>
      </c>
    </row>
    <row r="76" spans="1:26">
      <c r="A76" s="55" t="s">
        <v>620</v>
      </c>
      <c r="B76" s="55" t="s">
        <v>272</v>
      </c>
      <c r="C76" s="55" t="s">
        <v>1142</v>
      </c>
      <c r="D76" s="55" t="s">
        <v>1143</v>
      </c>
      <c r="E76" s="55" t="s">
        <v>1143</v>
      </c>
      <c r="F76" s="55" t="s">
        <v>73</v>
      </c>
      <c r="G76" s="56">
        <v>1</v>
      </c>
      <c r="H76" s="56">
        <v>1</v>
      </c>
      <c r="I76" s="56">
        <v>0</v>
      </c>
      <c r="J76" s="56">
        <v>2</v>
      </c>
      <c r="K76" s="56">
        <v>0</v>
      </c>
      <c r="L76" s="56">
        <v>8940000</v>
      </c>
      <c r="M76" s="56">
        <v>326.05</v>
      </c>
      <c r="N76" s="56">
        <v>6520.95</v>
      </c>
      <c r="O76" s="56">
        <v>83</v>
      </c>
      <c r="P76" s="56">
        <v>0</v>
      </c>
      <c r="Q76" s="56">
        <v>0</v>
      </c>
      <c r="R76" s="56">
        <v>0</v>
      </c>
      <c r="S76" s="56">
        <v>0</v>
      </c>
      <c r="T76" s="55" t="s">
        <v>1167</v>
      </c>
      <c r="U76" s="55" t="s">
        <v>1145</v>
      </c>
      <c r="V76" s="55" t="s">
        <v>1153</v>
      </c>
      <c r="W76" s="55" t="s">
        <v>1168</v>
      </c>
      <c r="X76" s="55" t="s">
        <v>1154</v>
      </c>
      <c r="Y76" s="55" t="s">
        <v>1225</v>
      </c>
      <c r="Z76" s="55" t="s">
        <v>1193</v>
      </c>
    </row>
    <row r="77" spans="1:26">
      <c r="A77" s="55" t="s">
        <v>621</v>
      </c>
      <c r="B77" s="55" t="s">
        <v>272</v>
      </c>
      <c r="C77" s="55" t="s">
        <v>1142</v>
      </c>
      <c r="D77" s="55" t="s">
        <v>1143</v>
      </c>
      <c r="E77" s="55" t="s">
        <v>1143</v>
      </c>
      <c r="F77" s="55" t="s">
        <v>73</v>
      </c>
      <c r="G77" s="56">
        <v>1</v>
      </c>
      <c r="H77" s="56">
        <v>1</v>
      </c>
      <c r="I77" s="56">
        <v>0</v>
      </c>
      <c r="J77" s="56">
        <v>2</v>
      </c>
      <c r="K77" s="56">
        <v>0</v>
      </c>
      <c r="L77" s="56">
        <v>4470000</v>
      </c>
      <c r="M77" s="56">
        <v>0</v>
      </c>
      <c r="N77" s="56">
        <v>0</v>
      </c>
      <c r="O77" s="56">
        <v>53</v>
      </c>
      <c r="P77" s="56">
        <v>0</v>
      </c>
      <c r="Q77" s="56">
        <v>0</v>
      </c>
      <c r="R77" s="56">
        <v>0</v>
      </c>
      <c r="S77" s="56">
        <v>0</v>
      </c>
      <c r="T77" s="55" t="s">
        <v>1152</v>
      </c>
      <c r="U77" s="55" t="s">
        <v>1165</v>
      </c>
      <c r="V77" s="55" t="s">
        <v>1153</v>
      </c>
      <c r="W77" s="55" t="s">
        <v>1147</v>
      </c>
      <c r="X77" s="55" t="s">
        <v>1154</v>
      </c>
      <c r="Y77" s="55" t="s">
        <v>1225</v>
      </c>
      <c r="Z77" s="55" t="s">
        <v>1239</v>
      </c>
    </row>
    <row r="78" spans="1:26">
      <c r="A78" s="55" t="s">
        <v>622</v>
      </c>
      <c r="B78" s="55" t="s">
        <v>272</v>
      </c>
      <c r="C78" s="55" t="s">
        <v>1142</v>
      </c>
      <c r="D78" s="55" t="s">
        <v>1143</v>
      </c>
      <c r="E78" s="55" t="s">
        <v>1143</v>
      </c>
      <c r="F78" s="55" t="s">
        <v>73</v>
      </c>
      <c r="G78" s="56">
        <v>1</v>
      </c>
      <c r="H78" s="56">
        <v>1</v>
      </c>
      <c r="I78" s="56">
        <v>0</v>
      </c>
      <c r="J78" s="56">
        <v>162</v>
      </c>
      <c r="K78" s="56">
        <v>0</v>
      </c>
      <c r="L78" s="56">
        <v>11171933.24</v>
      </c>
      <c r="M78" s="56">
        <v>6166962.49</v>
      </c>
      <c r="N78" s="56">
        <v>15121206.54</v>
      </c>
      <c r="O78" s="56">
        <v>83</v>
      </c>
      <c r="P78" s="56">
        <v>0</v>
      </c>
      <c r="Q78" s="56">
        <v>0</v>
      </c>
      <c r="R78" s="56">
        <v>0</v>
      </c>
      <c r="S78" s="56">
        <v>0</v>
      </c>
      <c r="T78" s="55" t="s">
        <v>1157</v>
      </c>
      <c r="U78" s="55" t="s">
        <v>1165</v>
      </c>
      <c r="V78" s="55" t="s">
        <v>1146</v>
      </c>
      <c r="W78" s="55" t="s">
        <v>1180</v>
      </c>
      <c r="X78" s="55" t="s">
        <v>1198</v>
      </c>
      <c r="Y78" s="55" t="s">
        <v>1225</v>
      </c>
      <c r="Z78" s="55" t="s">
        <v>1226</v>
      </c>
    </row>
    <row r="79" spans="1:26">
      <c r="A79" s="55" t="s">
        <v>623</v>
      </c>
      <c r="B79" s="55" t="s">
        <v>272</v>
      </c>
      <c r="C79" s="55" t="s">
        <v>1142</v>
      </c>
      <c r="D79" s="55" t="s">
        <v>1143</v>
      </c>
      <c r="E79" s="55" t="s">
        <v>1143</v>
      </c>
      <c r="F79" s="55" t="s">
        <v>73</v>
      </c>
      <c r="G79" s="56">
        <v>1</v>
      </c>
      <c r="H79" s="56">
        <v>1</v>
      </c>
      <c r="I79" s="56">
        <v>0</v>
      </c>
      <c r="J79" s="56">
        <v>12</v>
      </c>
      <c r="K79" s="56">
        <v>0</v>
      </c>
      <c r="L79" s="56">
        <v>125160000</v>
      </c>
      <c r="M79" s="56">
        <v>21847441.82</v>
      </c>
      <c r="N79" s="56">
        <v>822673915</v>
      </c>
      <c r="O79" s="56">
        <v>232</v>
      </c>
      <c r="P79" s="56">
        <v>0</v>
      </c>
      <c r="Q79" s="56">
        <v>0</v>
      </c>
      <c r="R79" s="56">
        <v>0</v>
      </c>
      <c r="S79" s="56">
        <v>0</v>
      </c>
      <c r="T79" s="55" t="s">
        <v>1173</v>
      </c>
      <c r="U79" s="55" t="s">
        <v>1145</v>
      </c>
      <c r="V79" s="55" t="s">
        <v>1153</v>
      </c>
      <c r="Z79" s="55" t="s">
        <v>1166</v>
      </c>
    </row>
    <row r="80" spans="1:26">
      <c r="A80" s="55" t="s">
        <v>624</v>
      </c>
      <c r="B80" s="55" t="s">
        <v>272</v>
      </c>
      <c r="C80" s="55" t="s">
        <v>1187</v>
      </c>
      <c r="D80" s="55" t="s">
        <v>1188</v>
      </c>
      <c r="E80" s="55" t="s">
        <v>1188</v>
      </c>
      <c r="F80" s="55" t="s">
        <v>74</v>
      </c>
      <c r="G80" s="56">
        <v>2</v>
      </c>
      <c r="H80" s="56">
        <v>2</v>
      </c>
      <c r="I80" s="56">
        <v>1</v>
      </c>
      <c r="J80" s="56">
        <v>19</v>
      </c>
      <c r="K80" s="56">
        <v>0</v>
      </c>
      <c r="L80" s="56">
        <v>23073326.76</v>
      </c>
      <c r="M80" s="56">
        <v>97955120.40000001</v>
      </c>
      <c r="N80" s="56">
        <v>6191487503.42</v>
      </c>
      <c r="O80" s="56">
        <v>21</v>
      </c>
      <c r="P80" s="56">
        <v>0</v>
      </c>
      <c r="Q80" s="56">
        <v>0</v>
      </c>
      <c r="R80" s="56">
        <v>0</v>
      </c>
      <c r="S80" s="56">
        <v>1</v>
      </c>
      <c r="T80" s="55" t="s">
        <v>1173</v>
      </c>
      <c r="U80" s="55" t="s">
        <v>1145</v>
      </c>
      <c r="V80" s="55" t="s">
        <v>1146</v>
      </c>
      <c r="W80" s="55" t="s">
        <v>1181</v>
      </c>
      <c r="X80" s="55" t="s">
        <v>1251</v>
      </c>
      <c r="Y80" s="55" t="s">
        <v>1210</v>
      </c>
      <c r="Z80" s="55" t="s">
        <v>1229</v>
      </c>
    </row>
    <row r="81" spans="1:26">
      <c r="A81" s="55" t="s">
        <v>625</v>
      </c>
      <c r="B81" s="55" t="s">
        <v>272</v>
      </c>
      <c r="C81" s="55" t="s">
        <v>1142</v>
      </c>
      <c r="D81" s="55" t="s">
        <v>1143</v>
      </c>
      <c r="E81" s="55" t="s">
        <v>1143</v>
      </c>
      <c r="F81" s="55" t="s">
        <v>73</v>
      </c>
      <c r="G81" s="56">
        <v>1</v>
      </c>
      <c r="H81" s="56">
        <v>1</v>
      </c>
      <c r="I81" s="56">
        <v>0</v>
      </c>
      <c r="J81" s="56">
        <v>6</v>
      </c>
      <c r="K81" s="56">
        <v>0</v>
      </c>
      <c r="L81" s="56">
        <v>293530000</v>
      </c>
      <c r="M81" s="56">
        <v>3874503.49</v>
      </c>
      <c r="N81" s="56">
        <v>77490069.8</v>
      </c>
      <c r="O81" s="56">
        <v>222</v>
      </c>
      <c r="P81" s="56">
        <v>0</v>
      </c>
      <c r="Q81" s="56">
        <v>0</v>
      </c>
      <c r="R81" s="56">
        <v>0</v>
      </c>
      <c r="S81" s="56">
        <v>0</v>
      </c>
      <c r="T81" s="55" t="s">
        <v>1173</v>
      </c>
      <c r="U81" s="55" t="s">
        <v>1145</v>
      </c>
      <c r="V81" s="55" t="s">
        <v>1153</v>
      </c>
      <c r="W81" s="55" t="s">
        <v>1147</v>
      </c>
      <c r="X81" s="55" t="s">
        <v>1154</v>
      </c>
      <c r="Y81" s="55" t="s">
        <v>1210</v>
      </c>
      <c r="Z81" s="55" t="s">
        <v>1252</v>
      </c>
    </row>
    <row r="82" spans="1:26">
      <c r="A82" s="55" t="s">
        <v>626</v>
      </c>
      <c r="B82" s="55" t="s">
        <v>272</v>
      </c>
      <c r="C82" s="55" t="s">
        <v>1142</v>
      </c>
      <c r="D82" s="55" t="s">
        <v>1143</v>
      </c>
      <c r="E82" s="55" t="s">
        <v>1143</v>
      </c>
      <c r="F82" s="55" t="s">
        <v>73</v>
      </c>
      <c r="G82" s="56">
        <v>1</v>
      </c>
      <c r="H82" s="56">
        <v>1</v>
      </c>
      <c r="I82" s="56">
        <v>0</v>
      </c>
      <c r="J82" s="56">
        <v>15</v>
      </c>
      <c r="K82" s="56">
        <v>0</v>
      </c>
      <c r="L82" s="56">
        <v>22350000</v>
      </c>
      <c r="M82" s="56">
        <v>217474.42</v>
      </c>
      <c r="N82" s="56">
        <v>4349488.36</v>
      </c>
      <c r="O82" s="56">
        <v>61</v>
      </c>
      <c r="P82" s="56">
        <v>0</v>
      </c>
      <c r="Q82" s="56">
        <v>0</v>
      </c>
      <c r="R82" s="56">
        <v>0</v>
      </c>
      <c r="S82" s="56">
        <v>0</v>
      </c>
      <c r="T82" s="55" t="s">
        <v>1167</v>
      </c>
      <c r="U82" s="55" t="s">
        <v>1145</v>
      </c>
      <c r="V82" s="55" t="s">
        <v>1153</v>
      </c>
      <c r="W82" s="55" t="s">
        <v>1168</v>
      </c>
      <c r="X82" s="55" t="s">
        <v>1154</v>
      </c>
      <c r="Y82" s="55" t="s">
        <v>1210</v>
      </c>
      <c r="Z82" s="55" t="s">
        <v>1185</v>
      </c>
    </row>
    <row r="83" spans="1:26">
      <c r="A83" s="55" t="s">
        <v>627</v>
      </c>
      <c r="B83" s="55" t="s">
        <v>272</v>
      </c>
      <c r="C83" s="55" t="s">
        <v>1142</v>
      </c>
      <c r="D83" s="55" t="s">
        <v>1143</v>
      </c>
      <c r="E83" s="55" t="s">
        <v>1143</v>
      </c>
      <c r="F83" s="55" t="s">
        <v>73</v>
      </c>
      <c r="G83" s="56">
        <v>1</v>
      </c>
      <c r="H83" s="56">
        <v>1</v>
      </c>
      <c r="I83" s="56">
        <v>0</v>
      </c>
      <c r="J83" s="56">
        <v>12</v>
      </c>
      <c r="K83" s="56">
        <v>0</v>
      </c>
      <c r="L83" s="56">
        <v>582888000</v>
      </c>
      <c r="M83" s="56">
        <v>243761.4</v>
      </c>
      <c r="N83" s="56">
        <v>4875228</v>
      </c>
      <c r="O83" s="56">
        <v>95</v>
      </c>
      <c r="P83" s="56">
        <v>0</v>
      </c>
      <c r="Q83" s="56">
        <v>0</v>
      </c>
      <c r="R83" s="56">
        <v>0</v>
      </c>
      <c r="S83" s="56">
        <v>0</v>
      </c>
      <c r="T83" s="55" t="s">
        <v>1157</v>
      </c>
      <c r="U83" s="55" t="s">
        <v>1165</v>
      </c>
      <c r="V83" s="55" t="s">
        <v>1153</v>
      </c>
      <c r="W83" s="55" t="s">
        <v>1180</v>
      </c>
      <c r="X83" s="55" t="s">
        <v>1154</v>
      </c>
      <c r="Y83" s="55" t="s">
        <v>1253</v>
      </c>
      <c r="Z83" s="55" t="s">
        <v>1166</v>
      </c>
    </row>
    <row r="84" spans="1:26">
      <c r="A84" s="55" t="s">
        <v>628</v>
      </c>
      <c r="B84" s="55" t="s">
        <v>272</v>
      </c>
      <c r="C84" s="55" t="s">
        <v>1142</v>
      </c>
      <c r="D84" s="55" t="s">
        <v>1143</v>
      </c>
      <c r="E84" s="55" t="s">
        <v>1143</v>
      </c>
      <c r="F84" s="55" t="s">
        <v>73</v>
      </c>
      <c r="G84" s="56">
        <v>1</v>
      </c>
      <c r="H84" s="56">
        <v>1</v>
      </c>
      <c r="I84" s="56">
        <v>0</v>
      </c>
      <c r="J84" s="56">
        <v>3</v>
      </c>
      <c r="K84" s="56">
        <v>0</v>
      </c>
      <c r="L84" s="56">
        <v>87246</v>
      </c>
      <c r="M84" s="56">
        <v>9574936.960000001</v>
      </c>
      <c r="N84" s="56">
        <v>1014713497</v>
      </c>
      <c r="O84" s="56">
        <v>50</v>
      </c>
      <c r="P84" s="56">
        <v>0</v>
      </c>
      <c r="Q84" s="56">
        <v>0</v>
      </c>
      <c r="R84" s="56">
        <v>0</v>
      </c>
      <c r="S84" s="56">
        <v>0</v>
      </c>
      <c r="T84" s="55" t="s">
        <v>1157</v>
      </c>
      <c r="U84" s="55" t="s">
        <v>1165</v>
      </c>
      <c r="V84" s="55" t="s">
        <v>1153</v>
      </c>
      <c r="W84" s="55" t="s">
        <v>1147</v>
      </c>
      <c r="X84" s="55" t="s">
        <v>1154</v>
      </c>
      <c r="Y84" s="55" t="s">
        <v>1210</v>
      </c>
      <c r="Z84" s="55" t="s">
        <v>1156</v>
      </c>
    </row>
    <row r="85" spans="1:26">
      <c r="A85" s="55" t="s">
        <v>629</v>
      </c>
      <c r="B85" s="55" t="s">
        <v>272</v>
      </c>
      <c r="C85" s="55" t="s">
        <v>1142</v>
      </c>
      <c r="D85" s="55" t="s">
        <v>1143</v>
      </c>
      <c r="E85" s="55" t="s">
        <v>1143</v>
      </c>
      <c r="F85" s="55" t="s">
        <v>73</v>
      </c>
      <c r="G85" s="56">
        <v>1</v>
      </c>
      <c r="H85" s="56">
        <v>1</v>
      </c>
      <c r="I85" s="56">
        <v>0</v>
      </c>
      <c r="J85" s="56">
        <v>18</v>
      </c>
      <c r="K85" s="56">
        <v>0</v>
      </c>
      <c r="L85" s="56">
        <v>0</v>
      </c>
      <c r="M85" s="56">
        <v>0</v>
      </c>
      <c r="N85" s="56">
        <v>0</v>
      </c>
      <c r="O85" s="56">
        <v>22</v>
      </c>
      <c r="P85" s="56">
        <v>1</v>
      </c>
      <c r="Q85" s="56">
        <v>0</v>
      </c>
      <c r="R85" s="56">
        <v>0</v>
      </c>
      <c r="S85" s="56">
        <v>0</v>
      </c>
      <c r="T85" s="55" t="s">
        <v>1144</v>
      </c>
      <c r="U85" s="55" t="s">
        <v>1145</v>
      </c>
      <c r="V85" s="55" t="s">
        <v>1153</v>
      </c>
      <c r="W85" s="55" t="s">
        <v>1158</v>
      </c>
      <c r="X85" s="55" t="s">
        <v>1159</v>
      </c>
      <c r="Y85" s="55" t="s">
        <v>1197</v>
      </c>
      <c r="Z85" s="55" t="s">
        <v>1166</v>
      </c>
    </row>
    <row r="86" spans="1:26">
      <c r="A86" s="55" t="s">
        <v>630</v>
      </c>
      <c r="B86" s="55" t="s">
        <v>546</v>
      </c>
      <c r="C86" s="55" t="s">
        <v>1151</v>
      </c>
      <c r="D86" s="55" t="s">
        <v>87</v>
      </c>
      <c r="E86" s="55" t="s">
        <v>87</v>
      </c>
      <c r="F86" s="55" t="s">
        <v>75</v>
      </c>
      <c r="G86" s="56">
        <v>5</v>
      </c>
      <c r="H86" s="56">
        <v>5</v>
      </c>
      <c r="I86" s="56">
        <v>1615</v>
      </c>
      <c r="J86" s="56">
        <v>16</v>
      </c>
      <c r="K86" s="56">
        <v>1</v>
      </c>
      <c r="L86" s="56">
        <v>351640000</v>
      </c>
      <c r="M86" s="56">
        <v>12100271.47</v>
      </c>
      <c r="N86" s="56">
        <v>17754209418.44</v>
      </c>
      <c r="O86" s="56">
        <v>183</v>
      </c>
      <c r="P86" s="56">
        <v>0</v>
      </c>
      <c r="Q86" s="56">
        <v>0</v>
      </c>
      <c r="R86" s="56">
        <v>1</v>
      </c>
      <c r="S86" s="56">
        <v>1</v>
      </c>
      <c r="T86" s="55" t="s">
        <v>1157</v>
      </c>
      <c r="U86" s="55" t="s">
        <v>1165</v>
      </c>
      <c r="V86" s="55" t="s">
        <v>1153</v>
      </c>
      <c r="W86" s="55" t="s">
        <v>1147</v>
      </c>
      <c r="X86" s="55" t="s">
        <v>1154</v>
      </c>
      <c r="Y86" s="55" t="s">
        <v>1210</v>
      </c>
      <c r="Z86" s="55" t="s">
        <v>1185</v>
      </c>
    </row>
    <row r="87" spans="1:26">
      <c r="A87" s="55" t="s">
        <v>631</v>
      </c>
      <c r="B87" s="55" t="s">
        <v>272</v>
      </c>
      <c r="C87" s="55" t="s">
        <v>1142</v>
      </c>
      <c r="D87" s="55" t="s">
        <v>1143</v>
      </c>
      <c r="E87" s="55" t="s">
        <v>1143</v>
      </c>
      <c r="F87" s="55" t="s">
        <v>73</v>
      </c>
      <c r="G87" s="56">
        <v>1</v>
      </c>
      <c r="H87" s="56">
        <v>1</v>
      </c>
      <c r="I87" s="56">
        <v>0</v>
      </c>
      <c r="J87" s="56">
        <v>17</v>
      </c>
      <c r="K87" s="56">
        <v>0</v>
      </c>
      <c r="L87" s="56">
        <v>20860000</v>
      </c>
      <c r="M87" s="56">
        <v>7028.65</v>
      </c>
      <c r="N87" s="56">
        <v>140572.96</v>
      </c>
      <c r="O87" s="56">
        <v>48</v>
      </c>
      <c r="P87" s="56">
        <v>0</v>
      </c>
      <c r="Q87" s="56">
        <v>0</v>
      </c>
      <c r="R87" s="56">
        <v>0</v>
      </c>
      <c r="S87" s="56">
        <v>0</v>
      </c>
      <c r="T87" s="55" t="s">
        <v>1144</v>
      </c>
      <c r="U87" s="55" t="s">
        <v>1145</v>
      </c>
      <c r="V87" s="55" t="s">
        <v>1146</v>
      </c>
      <c r="W87" s="55" t="s">
        <v>1147</v>
      </c>
      <c r="X87" s="55" t="s">
        <v>1159</v>
      </c>
      <c r="Y87" s="55" t="s">
        <v>1210</v>
      </c>
      <c r="Z87" s="55" t="s">
        <v>1229</v>
      </c>
    </row>
    <row r="88" spans="1:26">
      <c r="A88" s="55" t="s">
        <v>632</v>
      </c>
      <c r="B88" s="55" t="s">
        <v>272</v>
      </c>
      <c r="C88" s="55" t="s">
        <v>1142</v>
      </c>
      <c r="D88" s="55" t="s">
        <v>1143</v>
      </c>
      <c r="E88" s="55" t="s">
        <v>1143</v>
      </c>
      <c r="F88" s="55" t="s">
        <v>73</v>
      </c>
      <c r="G88" s="56">
        <v>1</v>
      </c>
      <c r="H88" s="56">
        <v>1</v>
      </c>
      <c r="I88" s="56">
        <v>0</v>
      </c>
      <c r="J88" s="56">
        <v>2</v>
      </c>
      <c r="K88" s="56">
        <v>0</v>
      </c>
      <c r="L88" s="56">
        <v>29800000</v>
      </c>
      <c r="M88" s="56">
        <v>9182943.689999999</v>
      </c>
      <c r="N88" s="56">
        <v>256723648.17</v>
      </c>
      <c r="O88" s="56">
        <v>7</v>
      </c>
      <c r="P88" s="56">
        <v>0</v>
      </c>
      <c r="Q88" s="56">
        <v>0</v>
      </c>
      <c r="R88" s="56">
        <v>0</v>
      </c>
      <c r="S88" s="56">
        <v>0</v>
      </c>
      <c r="T88" s="55" t="s">
        <v>1157</v>
      </c>
      <c r="U88" s="55" t="s">
        <v>1145</v>
      </c>
      <c r="V88" s="55" t="s">
        <v>1153</v>
      </c>
      <c r="W88" s="55" t="s">
        <v>1181</v>
      </c>
      <c r="X88" s="55" t="s">
        <v>1154</v>
      </c>
      <c r="Y88" s="55" t="s">
        <v>1253</v>
      </c>
      <c r="Z88" s="55" t="s">
        <v>1179</v>
      </c>
    </row>
    <row r="89" spans="1:26">
      <c r="A89" s="55" t="s">
        <v>633</v>
      </c>
      <c r="B89" s="55" t="s">
        <v>272</v>
      </c>
      <c r="C89" s="55" t="s">
        <v>1142</v>
      </c>
      <c r="D89" s="55" t="s">
        <v>1143</v>
      </c>
      <c r="E89" s="55" t="s">
        <v>1143</v>
      </c>
      <c r="F89" s="55" t="s">
        <v>73</v>
      </c>
      <c r="G89" s="56">
        <v>1</v>
      </c>
      <c r="H89" s="56">
        <v>1</v>
      </c>
      <c r="I89" s="56">
        <v>0</v>
      </c>
      <c r="J89" s="56">
        <v>10</v>
      </c>
      <c r="K89" s="56">
        <v>0</v>
      </c>
      <c r="L89" s="56">
        <v>312900000</v>
      </c>
      <c r="M89" s="56">
        <v>274560.6</v>
      </c>
      <c r="N89" s="56">
        <v>5491212.08</v>
      </c>
      <c r="O89" s="56">
        <v>166</v>
      </c>
      <c r="P89" s="56">
        <v>0</v>
      </c>
      <c r="Q89" s="56">
        <v>0</v>
      </c>
      <c r="R89" s="56">
        <v>0</v>
      </c>
      <c r="S89" s="56">
        <v>0</v>
      </c>
      <c r="T89" s="55" t="s">
        <v>1173</v>
      </c>
      <c r="U89" s="55" t="s">
        <v>1145</v>
      </c>
      <c r="V89" s="55" t="s">
        <v>1146</v>
      </c>
      <c r="W89" s="55" t="s">
        <v>1147</v>
      </c>
      <c r="X89" s="55" t="s">
        <v>1154</v>
      </c>
      <c r="Y89" s="55" t="s">
        <v>1210</v>
      </c>
      <c r="Z89" s="55" t="s">
        <v>1254</v>
      </c>
    </row>
    <row r="90" spans="1:26">
      <c r="A90" s="55" t="s">
        <v>634</v>
      </c>
      <c r="B90" s="55" t="s">
        <v>563</v>
      </c>
      <c r="C90" s="55" t="s">
        <v>1191</v>
      </c>
      <c r="D90" s="55" t="s">
        <v>1143</v>
      </c>
      <c r="E90" s="55" t="s">
        <v>1143</v>
      </c>
      <c r="F90" s="55" t="s">
        <v>73</v>
      </c>
      <c r="G90" s="56">
        <v>1</v>
      </c>
      <c r="H90" s="56">
        <v>1</v>
      </c>
      <c r="I90" s="56">
        <v>0</v>
      </c>
      <c r="J90" s="56">
        <v>13</v>
      </c>
      <c r="K90" s="56">
        <v>0</v>
      </c>
      <c r="L90" s="56">
        <v>1505979.05</v>
      </c>
      <c r="M90" s="56">
        <v>8492726.85</v>
      </c>
      <c r="N90" s="56">
        <v>725524035.15</v>
      </c>
      <c r="O90" s="56">
        <v>119</v>
      </c>
      <c r="P90" s="56">
        <v>0</v>
      </c>
      <c r="Q90" s="56">
        <v>0</v>
      </c>
      <c r="R90" s="56">
        <v>0</v>
      </c>
      <c r="S90" s="56">
        <v>0</v>
      </c>
      <c r="T90" s="55" t="s">
        <v>1173</v>
      </c>
      <c r="U90" s="55" t="s">
        <v>1145</v>
      </c>
      <c r="V90" s="55" t="s">
        <v>1146</v>
      </c>
      <c r="W90" s="55" t="s">
        <v>1147</v>
      </c>
      <c r="X90" s="55" t="s">
        <v>1154</v>
      </c>
      <c r="Y90" s="55" t="s">
        <v>1210</v>
      </c>
      <c r="Z90" s="55" t="s">
        <v>1177</v>
      </c>
    </row>
    <row r="91" spans="1:26">
      <c r="A91" s="55" t="s">
        <v>635</v>
      </c>
      <c r="B91" s="55" t="s">
        <v>272</v>
      </c>
      <c r="C91" s="55" t="s">
        <v>1142</v>
      </c>
      <c r="D91" s="55" t="s">
        <v>1143</v>
      </c>
      <c r="E91" s="55" t="s">
        <v>1143</v>
      </c>
      <c r="F91" s="55" t="s">
        <v>73</v>
      </c>
      <c r="G91" s="56">
        <v>1</v>
      </c>
      <c r="H91" s="56">
        <v>1</v>
      </c>
      <c r="I91" s="56">
        <v>0</v>
      </c>
      <c r="J91" s="56">
        <v>6</v>
      </c>
      <c r="K91" s="56">
        <v>0</v>
      </c>
      <c r="L91" s="56">
        <v>141550000</v>
      </c>
      <c r="M91" s="56">
        <v>0</v>
      </c>
      <c r="N91" s="56">
        <v>0</v>
      </c>
      <c r="O91" s="56">
        <v>216</v>
      </c>
      <c r="P91" s="56">
        <v>0</v>
      </c>
      <c r="Q91" s="56">
        <v>0</v>
      </c>
      <c r="R91" s="56">
        <v>0</v>
      </c>
      <c r="S91" s="56">
        <v>0</v>
      </c>
      <c r="T91" s="55" t="s">
        <v>1255</v>
      </c>
      <c r="U91" s="55" t="s">
        <v>1165</v>
      </c>
      <c r="V91" s="55" t="s">
        <v>1146</v>
      </c>
      <c r="W91" s="55" t="s">
        <v>1180</v>
      </c>
      <c r="X91" s="55" t="s">
        <v>1154</v>
      </c>
      <c r="Y91" s="55" t="s">
        <v>1155</v>
      </c>
      <c r="Z91" s="55" t="s">
        <v>1156</v>
      </c>
    </row>
    <row r="92" spans="1:26">
      <c r="A92" s="55" t="s">
        <v>636</v>
      </c>
      <c r="B92" s="55" t="s">
        <v>272</v>
      </c>
      <c r="C92" s="55" t="s">
        <v>1187</v>
      </c>
      <c r="D92" s="55" t="s">
        <v>1188</v>
      </c>
      <c r="E92" s="55" t="s">
        <v>1188</v>
      </c>
      <c r="F92" s="55" t="s">
        <v>74</v>
      </c>
      <c r="G92" s="56">
        <v>2</v>
      </c>
      <c r="H92" s="56">
        <v>2</v>
      </c>
      <c r="I92" s="56">
        <v>9</v>
      </c>
      <c r="J92" s="56">
        <v>3</v>
      </c>
      <c r="K92" s="56">
        <v>0</v>
      </c>
      <c r="L92" s="56">
        <v>1857797.72</v>
      </c>
      <c r="M92" s="56">
        <v>13498450.86</v>
      </c>
      <c r="N92" s="56">
        <v>791111480.52</v>
      </c>
      <c r="O92" s="56">
        <v>38</v>
      </c>
      <c r="P92" s="56">
        <v>0</v>
      </c>
      <c r="Q92" s="56">
        <v>0</v>
      </c>
      <c r="R92" s="56">
        <v>0</v>
      </c>
      <c r="S92" s="56">
        <v>1</v>
      </c>
      <c r="T92" s="55" t="s">
        <v>1157</v>
      </c>
      <c r="U92" s="55" t="s">
        <v>1145</v>
      </c>
      <c r="V92" s="55" t="s">
        <v>1146</v>
      </c>
      <c r="W92" s="55" t="s">
        <v>1147</v>
      </c>
      <c r="X92" s="55" t="s">
        <v>1154</v>
      </c>
      <c r="Y92" s="55" t="s">
        <v>1256</v>
      </c>
      <c r="Z92" s="55" t="s">
        <v>1150</v>
      </c>
    </row>
    <row r="93" spans="1:26">
      <c r="A93" s="55" t="s">
        <v>637</v>
      </c>
      <c r="B93" s="55" t="s">
        <v>272</v>
      </c>
      <c r="C93" s="55" t="s">
        <v>1187</v>
      </c>
      <c r="D93" s="55" t="s">
        <v>1143</v>
      </c>
      <c r="E93" s="55" t="s">
        <v>1188</v>
      </c>
      <c r="F93" s="55" t="s">
        <v>73</v>
      </c>
      <c r="G93" s="56">
        <v>1</v>
      </c>
      <c r="H93" s="56">
        <v>2</v>
      </c>
      <c r="I93" s="56">
        <v>0</v>
      </c>
      <c r="J93" s="56">
        <v>14</v>
      </c>
      <c r="K93" s="56">
        <v>0</v>
      </c>
      <c r="L93" s="56">
        <v>683910000</v>
      </c>
      <c r="M93" s="56">
        <v>164832571.94</v>
      </c>
      <c r="N93" s="56">
        <v>11118577126.9</v>
      </c>
      <c r="O93" s="56">
        <v>97</v>
      </c>
      <c r="P93" s="56">
        <v>0</v>
      </c>
      <c r="Q93" s="56">
        <v>0</v>
      </c>
      <c r="R93" s="56">
        <v>0</v>
      </c>
      <c r="S93" s="56">
        <v>0</v>
      </c>
      <c r="T93" s="55" t="s">
        <v>1173</v>
      </c>
      <c r="U93" s="55" t="s">
        <v>1145</v>
      </c>
      <c r="V93" s="55" t="s">
        <v>1146</v>
      </c>
      <c r="W93" s="55" t="s">
        <v>1147</v>
      </c>
      <c r="X93" s="55" t="s">
        <v>1159</v>
      </c>
      <c r="Y93" s="55" t="s">
        <v>1210</v>
      </c>
      <c r="Z93" s="55" t="s">
        <v>1156</v>
      </c>
    </row>
    <row r="94" spans="1:26">
      <c r="A94" s="55" t="s">
        <v>638</v>
      </c>
      <c r="B94" s="55" t="s">
        <v>272</v>
      </c>
      <c r="C94" s="55" t="s">
        <v>1142</v>
      </c>
      <c r="D94" s="55" t="s">
        <v>1143</v>
      </c>
      <c r="E94" s="55" t="s">
        <v>1143</v>
      </c>
      <c r="F94" s="55" t="s">
        <v>73</v>
      </c>
      <c r="G94" s="56">
        <v>1</v>
      </c>
      <c r="H94" s="56">
        <v>1</v>
      </c>
      <c r="I94" s="56">
        <v>0</v>
      </c>
      <c r="J94" s="56">
        <v>160</v>
      </c>
      <c r="K94" s="56">
        <v>0</v>
      </c>
      <c r="L94" s="56">
        <v>9377257.640000001</v>
      </c>
      <c r="M94" s="56">
        <v>1827610.31</v>
      </c>
      <c r="N94" s="56">
        <v>9377257.640000001</v>
      </c>
      <c r="O94" s="56">
        <v>58</v>
      </c>
      <c r="P94" s="56">
        <v>0</v>
      </c>
      <c r="Q94" s="56">
        <v>0</v>
      </c>
      <c r="R94" s="56">
        <v>0</v>
      </c>
      <c r="S94" s="56">
        <v>0</v>
      </c>
      <c r="T94" s="55" t="s">
        <v>1157</v>
      </c>
      <c r="U94" s="55" t="s">
        <v>1145</v>
      </c>
      <c r="V94" s="55" t="s">
        <v>1153</v>
      </c>
      <c r="W94" s="55" t="s">
        <v>1147</v>
      </c>
      <c r="X94" s="55" t="s">
        <v>1154</v>
      </c>
      <c r="Y94" s="55" t="s">
        <v>1197</v>
      </c>
      <c r="Z94" s="55" t="s">
        <v>1177</v>
      </c>
    </row>
    <row r="95" spans="1:26">
      <c r="A95" s="55" t="s">
        <v>639</v>
      </c>
      <c r="B95" s="55" t="s">
        <v>272</v>
      </c>
      <c r="C95" s="55" t="s">
        <v>1142</v>
      </c>
      <c r="D95" s="55" t="s">
        <v>1143</v>
      </c>
      <c r="E95" s="55" t="s">
        <v>1143</v>
      </c>
      <c r="F95" s="55" t="s">
        <v>73</v>
      </c>
      <c r="G95" s="56">
        <v>1</v>
      </c>
      <c r="H95" s="56">
        <v>1</v>
      </c>
      <c r="I95" s="56">
        <v>0</v>
      </c>
      <c r="J95" s="56">
        <v>54</v>
      </c>
      <c r="K95" s="56">
        <v>0</v>
      </c>
      <c r="L95" s="56">
        <v>533420000</v>
      </c>
      <c r="M95" s="56">
        <v>462636.59</v>
      </c>
      <c r="N95" s="56">
        <v>9252731.84</v>
      </c>
      <c r="O95" s="56">
        <v>135</v>
      </c>
      <c r="P95" s="56">
        <v>0</v>
      </c>
      <c r="Q95" s="56">
        <v>0</v>
      </c>
      <c r="R95" s="56">
        <v>0</v>
      </c>
      <c r="S95" s="56">
        <v>0</v>
      </c>
      <c r="T95" s="55" t="s">
        <v>1167</v>
      </c>
      <c r="U95" s="55" t="s">
        <v>1145</v>
      </c>
      <c r="V95" s="55" t="s">
        <v>1146</v>
      </c>
      <c r="W95" s="55" t="s">
        <v>1168</v>
      </c>
      <c r="X95" s="55" t="s">
        <v>1154</v>
      </c>
      <c r="Y95" s="55" t="s">
        <v>1197</v>
      </c>
      <c r="Z95" s="55" t="s">
        <v>1257</v>
      </c>
    </row>
    <row r="96" spans="1:26">
      <c r="A96" s="55" t="s">
        <v>640</v>
      </c>
      <c r="B96" s="55" t="s">
        <v>272</v>
      </c>
      <c r="C96" s="55" t="s">
        <v>1142</v>
      </c>
      <c r="D96" s="55" t="s">
        <v>1143</v>
      </c>
      <c r="E96" s="55" t="s">
        <v>1143</v>
      </c>
      <c r="F96" s="55" t="s">
        <v>73</v>
      </c>
      <c r="G96" s="56">
        <v>1</v>
      </c>
      <c r="H96" s="56">
        <v>1</v>
      </c>
      <c r="I96" s="56">
        <v>0</v>
      </c>
      <c r="J96" s="56">
        <v>9</v>
      </c>
      <c r="K96" s="56">
        <v>0</v>
      </c>
      <c r="L96" s="56">
        <v>818755000</v>
      </c>
      <c r="M96" s="56">
        <v>576248.95</v>
      </c>
      <c r="N96" s="56">
        <v>11524979.04</v>
      </c>
      <c r="O96" s="56">
        <v>154</v>
      </c>
      <c r="P96" s="56">
        <v>0</v>
      </c>
      <c r="Q96" s="56">
        <v>0</v>
      </c>
      <c r="R96" s="56">
        <v>0</v>
      </c>
      <c r="S96" s="56">
        <v>0</v>
      </c>
      <c r="T96" s="55" t="s">
        <v>1255</v>
      </c>
      <c r="U96" s="55" t="s">
        <v>1145</v>
      </c>
      <c r="V96" s="55" t="s">
        <v>1146</v>
      </c>
      <c r="W96" s="55" t="s">
        <v>1168</v>
      </c>
      <c r="X96" s="55" t="s">
        <v>1154</v>
      </c>
      <c r="Y96" s="55" t="s">
        <v>1197</v>
      </c>
      <c r="Z96" s="55" t="s">
        <v>1177</v>
      </c>
    </row>
    <row r="97" spans="1:26">
      <c r="A97" s="55" t="s">
        <v>641</v>
      </c>
      <c r="B97" s="55" t="s">
        <v>272</v>
      </c>
      <c r="C97" s="55" t="s">
        <v>1142</v>
      </c>
      <c r="D97" s="55" t="s">
        <v>1143</v>
      </c>
      <c r="E97" s="55" t="s">
        <v>1143</v>
      </c>
      <c r="F97" s="55" t="s">
        <v>73</v>
      </c>
      <c r="G97" s="56">
        <v>1</v>
      </c>
      <c r="H97" s="56">
        <v>1</v>
      </c>
      <c r="I97" s="56">
        <v>0</v>
      </c>
      <c r="J97" s="56">
        <v>1</v>
      </c>
      <c r="K97" s="56">
        <v>0</v>
      </c>
      <c r="L97" s="56">
        <v>217540000</v>
      </c>
      <c r="M97" s="56">
        <v>0</v>
      </c>
      <c r="N97" s="56">
        <v>0</v>
      </c>
      <c r="O97" s="56">
        <v>215</v>
      </c>
      <c r="P97" s="56">
        <v>0</v>
      </c>
      <c r="Q97" s="56">
        <v>0</v>
      </c>
      <c r="R97" s="56">
        <v>0</v>
      </c>
      <c r="S97" s="56">
        <v>0</v>
      </c>
      <c r="T97" s="55" t="s">
        <v>1144</v>
      </c>
      <c r="U97" s="55" t="s">
        <v>1145</v>
      </c>
      <c r="V97" s="55" t="s">
        <v>1146</v>
      </c>
      <c r="W97" s="55" t="s">
        <v>1147</v>
      </c>
      <c r="X97" s="55" t="s">
        <v>1154</v>
      </c>
      <c r="Y97" s="55" t="s">
        <v>1197</v>
      </c>
      <c r="Z97" s="55" t="s">
        <v>1190</v>
      </c>
    </row>
    <row r="98" spans="1:26">
      <c r="A98" s="55" t="s">
        <v>642</v>
      </c>
      <c r="B98" s="55" t="s">
        <v>272</v>
      </c>
      <c r="C98" s="55" t="s">
        <v>1142</v>
      </c>
      <c r="D98" s="55" t="s">
        <v>1143</v>
      </c>
      <c r="E98" s="55" t="s">
        <v>1143</v>
      </c>
      <c r="F98" s="55" t="s">
        <v>73</v>
      </c>
      <c r="G98" s="56">
        <v>1</v>
      </c>
      <c r="H98" s="56">
        <v>1</v>
      </c>
      <c r="I98" s="56">
        <v>0</v>
      </c>
      <c r="J98" s="56">
        <v>5</v>
      </c>
      <c r="K98" s="56">
        <v>0</v>
      </c>
      <c r="L98" s="56">
        <v>138570000</v>
      </c>
      <c r="M98" s="56">
        <v>23608764.76</v>
      </c>
      <c r="N98" s="56">
        <v>2707184942.17</v>
      </c>
      <c r="O98" s="56">
        <v>52</v>
      </c>
      <c r="P98" s="56">
        <v>0</v>
      </c>
      <c r="Q98" s="56">
        <v>0</v>
      </c>
      <c r="R98" s="56">
        <v>0</v>
      </c>
      <c r="S98" s="56">
        <v>0</v>
      </c>
      <c r="T98" s="55" t="s">
        <v>1157</v>
      </c>
      <c r="U98" s="55" t="s">
        <v>1145</v>
      </c>
      <c r="V98" s="55" t="s">
        <v>1153</v>
      </c>
      <c r="W98" s="55" t="s">
        <v>1180</v>
      </c>
      <c r="X98" s="55" t="s">
        <v>1159</v>
      </c>
      <c r="Y98" s="55" t="s">
        <v>1197</v>
      </c>
      <c r="Z98" s="55" t="s">
        <v>1193</v>
      </c>
    </row>
    <row r="99" spans="1:26">
      <c r="A99" s="55" t="s">
        <v>643</v>
      </c>
      <c r="B99" s="55" t="s">
        <v>272</v>
      </c>
      <c r="C99" s="55" t="s">
        <v>1142</v>
      </c>
      <c r="D99" s="55" t="s">
        <v>1143</v>
      </c>
      <c r="E99" s="55" t="s">
        <v>1143</v>
      </c>
      <c r="F99" s="55" t="s">
        <v>73</v>
      </c>
      <c r="G99" s="56">
        <v>1</v>
      </c>
      <c r="H99" s="56">
        <v>1</v>
      </c>
      <c r="I99" s="56">
        <v>0</v>
      </c>
      <c r="J99" s="56">
        <v>6</v>
      </c>
      <c r="K99" s="56">
        <v>0</v>
      </c>
      <c r="L99" s="56">
        <v>2731170000</v>
      </c>
      <c r="M99" s="56">
        <v>1221211.49</v>
      </c>
      <c r="N99" s="56">
        <v>24424229.81</v>
      </c>
      <c r="O99" s="56">
        <v>164</v>
      </c>
      <c r="P99" s="56">
        <v>0</v>
      </c>
      <c r="Q99" s="56">
        <v>0</v>
      </c>
      <c r="R99" s="56">
        <v>0</v>
      </c>
      <c r="S99" s="56">
        <v>0</v>
      </c>
      <c r="T99" s="55" t="s">
        <v>1173</v>
      </c>
      <c r="U99" s="55" t="s">
        <v>1145</v>
      </c>
      <c r="V99" s="55" t="s">
        <v>1146</v>
      </c>
      <c r="W99" s="55" t="s">
        <v>1147</v>
      </c>
      <c r="X99" s="55" t="s">
        <v>1258</v>
      </c>
      <c r="Y99" s="55" t="s">
        <v>1197</v>
      </c>
      <c r="Z99" s="55" t="s">
        <v>1196</v>
      </c>
    </row>
    <row r="100" spans="1:26">
      <c r="A100" s="55" t="s">
        <v>644</v>
      </c>
      <c r="B100" s="55" t="s">
        <v>272</v>
      </c>
      <c r="C100" s="55" t="s">
        <v>1142</v>
      </c>
      <c r="D100" s="55" t="s">
        <v>1143</v>
      </c>
      <c r="E100" s="55" t="s">
        <v>1143</v>
      </c>
      <c r="F100" s="55" t="s">
        <v>73</v>
      </c>
      <c r="G100" s="56">
        <v>1</v>
      </c>
      <c r="H100" s="56">
        <v>1</v>
      </c>
      <c r="I100" s="56">
        <v>0</v>
      </c>
      <c r="J100" s="56">
        <v>22</v>
      </c>
      <c r="K100" s="56">
        <v>0</v>
      </c>
      <c r="L100" s="56">
        <v>174330000</v>
      </c>
      <c r="M100" s="56">
        <v>44104</v>
      </c>
      <c r="N100" s="56">
        <v>882080</v>
      </c>
      <c r="O100" s="56">
        <v>51</v>
      </c>
      <c r="P100" s="56">
        <v>0</v>
      </c>
      <c r="Q100" s="56">
        <v>0</v>
      </c>
      <c r="R100" s="56">
        <v>0</v>
      </c>
      <c r="S100" s="56">
        <v>0</v>
      </c>
      <c r="T100" s="55" t="s">
        <v>1157</v>
      </c>
      <c r="U100" s="55" t="s">
        <v>1165</v>
      </c>
      <c r="V100" s="55" t="s">
        <v>1146</v>
      </c>
      <c r="W100" s="55" t="s">
        <v>1168</v>
      </c>
      <c r="X100" s="55" t="s">
        <v>1201</v>
      </c>
      <c r="Y100" s="55" t="s">
        <v>1197</v>
      </c>
      <c r="Z100" s="55" t="s">
        <v>1179</v>
      </c>
    </row>
    <row r="101" spans="1:26">
      <c r="A101" s="55" t="s">
        <v>645</v>
      </c>
      <c r="B101" s="55" t="s">
        <v>272</v>
      </c>
      <c r="C101" s="55" t="s">
        <v>1142</v>
      </c>
      <c r="D101" s="55" t="s">
        <v>1143</v>
      </c>
      <c r="E101" s="55" t="s">
        <v>1143</v>
      </c>
      <c r="F101" s="55" t="s">
        <v>73</v>
      </c>
      <c r="G101" s="56">
        <v>1</v>
      </c>
      <c r="H101" s="56">
        <v>1</v>
      </c>
      <c r="I101" s="56">
        <v>0</v>
      </c>
      <c r="J101" s="56">
        <v>10</v>
      </c>
      <c r="K101" s="56">
        <v>0</v>
      </c>
      <c r="L101" s="56">
        <v>584080000</v>
      </c>
      <c r="M101" s="56">
        <v>1592789.65</v>
      </c>
      <c r="N101" s="56">
        <v>31855792.97</v>
      </c>
      <c r="O101" s="56">
        <v>134</v>
      </c>
      <c r="P101" s="56">
        <v>0</v>
      </c>
      <c r="Q101" s="56">
        <v>0</v>
      </c>
      <c r="R101" s="56">
        <v>0</v>
      </c>
      <c r="S101" s="56">
        <v>0</v>
      </c>
      <c r="T101" s="55" t="s">
        <v>1167</v>
      </c>
      <c r="U101" s="55" t="s">
        <v>1165</v>
      </c>
      <c r="V101" s="55" t="s">
        <v>1146</v>
      </c>
      <c r="W101" s="55" t="s">
        <v>1181</v>
      </c>
      <c r="X101" s="55" t="s">
        <v>1159</v>
      </c>
      <c r="Y101" s="55" t="s">
        <v>1199</v>
      </c>
      <c r="Z101" s="55" t="s">
        <v>1211</v>
      </c>
    </row>
    <row r="102" spans="1:26">
      <c r="A102" s="55" t="s">
        <v>646</v>
      </c>
      <c r="B102" s="55" t="s">
        <v>272</v>
      </c>
      <c r="C102" s="55" t="s">
        <v>1142</v>
      </c>
      <c r="D102" s="55" t="s">
        <v>1143</v>
      </c>
      <c r="E102" s="55" t="s">
        <v>1143</v>
      </c>
      <c r="F102" s="55" t="s">
        <v>73</v>
      </c>
      <c r="G102" s="56">
        <v>1</v>
      </c>
      <c r="H102" s="56">
        <v>1</v>
      </c>
      <c r="I102" s="56">
        <v>0</v>
      </c>
      <c r="J102" s="56">
        <v>3</v>
      </c>
      <c r="K102" s="56">
        <v>0</v>
      </c>
      <c r="L102" s="56">
        <v>193700000</v>
      </c>
      <c r="M102" s="56">
        <v>164394.11</v>
      </c>
      <c r="N102" s="56">
        <v>3287882.25</v>
      </c>
      <c r="O102" s="56">
        <v>111</v>
      </c>
      <c r="P102" s="56">
        <v>0</v>
      </c>
      <c r="Q102" s="56">
        <v>0</v>
      </c>
      <c r="R102" s="56">
        <v>0</v>
      </c>
      <c r="S102" s="56">
        <v>0</v>
      </c>
      <c r="T102" s="55" t="s">
        <v>1157</v>
      </c>
      <c r="U102" s="55" t="s">
        <v>1145</v>
      </c>
      <c r="V102" s="55" t="s">
        <v>1153</v>
      </c>
      <c r="Z102" s="55" t="s">
        <v>1226</v>
      </c>
    </row>
    <row r="103" spans="1:26">
      <c r="A103" s="55" t="s">
        <v>647</v>
      </c>
      <c r="B103" s="55" t="s">
        <v>272</v>
      </c>
      <c r="C103" s="55" t="s">
        <v>1142</v>
      </c>
      <c r="D103" s="55" t="s">
        <v>1143</v>
      </c>
      <c r="E103" s="55" t="s">
        <v>1143</v>
      </c>
      <c r="F103" s="55" t="s">
        <v>73</v>
      </c>
      <c r="G103" s="56">
        <v>1</v>
      </c>
      <c r="H103" s="56">
        <v>1</v>
      </c>
      <c r="I103" s="56">
        <v>0</v>
      </c>
      <c r="J103" s="56">
        <v>2</v>
      </c>
      <c r="K103" s="56">
        <v>0</v>
      </c>
      <c r="L103" s="56">
        <v>4470000</v>
      </c>
      <c r="M103" s="56">
        <v>143240.21</v>
      </c>
      <c r="N103" s="56">
        <v>2864804.26</v>
      </c>
      <c r="O103" s="56">
        <v>15</v>
      </c>
      <c r="P103" s="56">
        <v>0</v>
      </c>
      <c r="Q103" s="56">
        <v>0</v>
      </c>
      <c r="R103" s="56">
        <v>0</v>
      </c>
      <c r="S103" s="56">
        <v>0</v>
      </c>
      <c r="T103" s="55" t="s">
        <v>1152</v>
      </c>
      <c r="U103" s="55" t="s">
        <v>1145</v>
      </c>
      <c r="V103" s="55" t="s">
        <v>1153</v>
      </c>
      <c r="W103" s="55" t="s">
        <v>1147</v>
      </c>
      <c r="X103" s="55" t="s">
        <v>1154</v>
      </c>
      <c r="Y103" s="55" t="s">
        <v>1259</v>
      </c>
      <c r="Z103" s="55" t="s">
        <v>1260</v>
      </c>
    </row>
    <row r="104" spans="1:26">
      <c r="A104" s="55" t="s">
        <v>648</v>
      </c>
      <c r="B104" s="55" t="s">
        <v>272</v>
      </c>
      <c r="C104" s="55" t="s">
        <v>1187</v>
      </c>
      <c r="D104" s="55" t="s">
        <v>1188</v>
      </c>
      <c r="E104" s="55" t="s">
        <v>1188</v>
      </c>
      <c r="F104" s="55" t="s">
        <v>74</v>
      </c>
      <c r="G104" s="56">
        <v>2</v>
      </c>
      <c r="H104" s="56">
        <v>2</v>
      </c>
      <c r="I104" s="56">
        <v>0</v>
      </c>
      <c r="J104" s="56">
        <v>33</v>
      </c>
      <c r="K104" s="56">
        <v>0</v>
      </c>
      <c r="L104" s="56">
        <v>6131633.44</v>
      </c>
      <c r="M104" s="56">
        <v>3993833.16</v>
      </c>
      <c r="N104" s="56">
        <v>6131633.439999999</v>
      </c>
      <c r="O104" s="56">
        <v>47</v>
      </c>
      <c r="P104" s="56">
        <v>0</v>
      </c>
      <c r="Q104" s="56">
        <v>0</v>
      </c>
      <c r="R104" s="56">
        <v>0</v>
      </c>
      <c r="S104" s="56">
        <v>0</v>
      </c>
      <c r="T104" s="55" t="s">
        <v>1167</v>
      </c>
      <c r="U104" s="55" t="s">
        <v>1165</v>
      </c>
      <c r="V104" s="55" t="s">
        <v>1153</v>
      </c>
      <c r="W104" s="55" t="s">
        <v>1147</v>
      </c>
      <c r="X104" s="55" t="s">
        <v>1159</v>
      </c>
      <c r="Y104" s="55" t="s">
        <v>1197</v>
      </c>
      <c r="Z104" s="55" t="s">
        <v>1161</v>
      </c>
    </row>
    <row r="105" spans="1:26">
      <c r="A105" s="55" t="s">
        <v>649</v>
      </c>
      <c r="B105" s="55" t="s">
        <v>272</v>
      </c>
      <c r="C105" s="55" t="s">
        <v>1236</v>
      </c>
      <c r="D105" s="55" t="s">
        <v>87</v>
      </c>
      <c r="E105" s="55" t="s">
        <v>87</v>
      </c>
      <c r="F105" s="55" t="s">
        <v>75</v>
      </c>
      <c r="G105" s="56">
        <v>5</v>
      </c>
      <c r="H105" s="56">
        <v>5</v>
      </c>
      <c r="I105" s="56">
        <v>180</v>
      </c>
      <c r="J105" s="56">
        <v>48</v>
      </c>
      <c r="K105" s="56">
        <v>0</v>
      </c>
      <c r="L105" s="56">
        <v>162172114.05</v>
      </c>
      <c r="M105" s="56">
        <v>9409950.869999999</v>
      </c>
      <c r="N105" s="56">
        <v>123633464</v>
      </c>
      <c r="O105" s="56">
        <v>165</v>
      </c>
      <c r="P105" s="56">
        <v>0</v>
      </c>
      <c r="Q105" s="56">
        <v>0</v>
      </c>
      <c r="R105" s="56">
        <v>1</v>
      </c>
      <c r="S105" s="56">
        <v>1</v>
      </c>
      <c r="T105" s="55" t="s">
        <v>1152</v>
      </c>
      <c r="U105" s="55" t="s">
        <v>1145</v>
      </c>
      <c r="V105" s="55" t="s">
        <v>1153</v>
      </c>
      <c r="W105" s="55" t="s">
        <v>1168</v>
      </c>
      <c r="X105" s="55" t="s">
        <v>1258</v>
      </c>
      <c r="Y105" s="55" t="s">
        <v>1199</v>
      </c>
      <c r="Z105" s="55" t="s">
        <v>1166</v>
      </c>
    </row>
    <row r="106" spans="1:26">
      <c r="A106" s="55" t="s">
        <v>650</v>
      </c>
      <c r="B106" s="55" t="s">
        <v>546</v>
      </c>
      <c r="C106" s="55" t="s">
        <v>1151</v>
      </c>
      <c r="D106" s="55" t="s">
        <v>87</v>
      </c>
      <c r="E106" s="55" t="s">
        <v>87</v>
      </c>
      <c r="F106" s="55" t="s">
        <v>75</v>
      </c>
      <c r="G106" s="56">
        <v>5</v>
      </c>
      <c r="H106" s="56">
        <v>5</v>
      </c>
      <c r="I106" s="56">
        <v>422</v>
      </c>
      <c r="J106" s="56">
        <v>49</v>
      </c>
      <c r="K106" s="56">
        <v>0</v>
      </c>
      <c r="L106" s="56">
        <v>8040646.55</v>
      </c>
      <c r="M106" s="56">
        <v>1136272.4</v>
      </c>
      <c r="N106" s="56">
        <v>8803646.550000001</v>
      </c>
      <c r="O106" s="56">
        <v>168</v>
      </c>
      <c r="P106" s="56">
        <v>0</v>
      </c>
      <c r="Q106" s="56">
        <v>0</v>
      </c>
      <c r="R106" s="56">
        <v>1</v>
      </c>
      <c r="S106" s="56">
        <v>1</v>
      </c>
      <c r="T106" s="55" t="s">
        <v>1144</v>
      </c>
      <c r="U106" s="55" t="s">
        <v>1145</v>
      </c>
      <c r="V106" s="55" t="s">
        <v>1146</v>
      </c>
      <c r="W106" s="55" t="s">
        <v>1168</v>
      </c>
      <c r="X106" s="55" t="s">
        <v>1154</v>
      </c>
      <c r="Y106" s="55" t="s">
        <v>1197</v>
      </c>
      <c r="Z106" s="55" t="s">
        <v>1261</v>
      </c>
    </row>
    <row r="107" spans="1:26">
      <c r="A107" s="55" t="s">
        <v>651</v>
      </c>
      <c r="B107" s="55" t="s">
        <v>272</v>
      </c>
      <c r="C107" s="55" t="s">
        <v>1142</v>
      </c>
      <c r="D107" s="55" t="s">
        <v>1143</v>
      </c>
      <c r="E107" s="55" t="s">
        <v>1143</v>
      </c>
      <c r="F107" s="55" t="s">
        <v>73</v>
      </c>
      <c r="G107" s="56">
        <v>1</v>
      </c>
      <c r="H107" s="56">
        <v>1</v>
      </c>
      <c r="I107" s="56">
        <v>0</v>
      </c>
      <c r="J107" s="56">
        <v>145</v>
      </c>
      <c r="K107" s="56">
        <v>0</v>
      </c>
      <c r="L107" s="56">
        <v>87347235.91</v>
      </c>
      <c r="M107" s="56">
        <v>3387507.08</v>
      </c>
      <c r="N107" s="56">
        <v>80691697.14</v>
      </c>
      <c r="O107" s="56">
        <v>84</v>
      </c>
      <c r="P107" s="56">
        <v>0</v>
      </c>
      <c r="Q107" s="56">
        <v>0</v>
      </c>
      <c r="R107" s="56">
        <v>0</v>
      </c>
      <c r="S107" s="56">
        <v>0</v>
      </c>
      <c r="T107" s="55" t="s">
        <v>1173</v>
      </c>
      <c r="U107" s="55" t="s">
        <v>1165</v>
      </c>
      <c r="V107" s="55" t="s">
        <v>1146</v>
      </c>
      <c r="W107" s="55" t="s">
        <v>1168</v>
      </c>
      <c r="X107" s="55" t="s">
        <v>1148</v>
      </c>
      <c r="Y107" s="55" t="s">
        <v>1197</v>
      </c>
      <c r="Z107" s="55" t="s">
        <v>1193</v>
      </c>
    </row>
    <row r="108" spans="1:26">
      <c r="A108" s="55" t="s">
        <v>652</v>
      </c>
      <c r="B108" s="55" t="s">
        <v>272</v>
      </c>
      <c r="C108" s="55" t="s">
        <v>1142</v>
      </c>
      <c r="D108" s="55" t="s">
        <v>1143</v>
      </c>
      <c r="E108" s="55" t="s">
        <v>1143</v>
      </c>
      <c r="F108" s="55" t="s">
        <v>73</v>
      </c>
      <c r="G108" s="56">
        <v>1</v>
      </c>
      <c r="H108" s="56">
        <v>1</v>
      </c>
      <c r="I108" s="56">
        <v>0</v>
      </c>
      <c r="J108" s="56">
        <v>6</v>
      </c>
      <c r="K108" s="56">
        <v>0</v>
      </c>
      <c r="L108" s="56">
        <v>335250000</v>
      </c>
      <c r="M108" s="56">
        <v>1285888.63</v>
      </c>
      <c r="N108" s="56">
        <v>25717772.66</v>
      </c>
      <c r="O108" s="56">
        <v>144</v>
      </c>
      <c r="P108" s="56">
        <v>0</v>
      </c>
      <c r="Q108" s="56">
        <v>0</v>
      </c>
      <c r="R108" s="56">
        <v>0</v>
      </c>
      <c r="S108" s="56">
        <v>0</v>
      </c>
      <c r="T108" s="55" t="s">
        <v>1157</v>
      </c>
      <c r="U108" s="55" t="s">
        <v>1165</v>
      </c>
      <c r="V108" s="55" t="s">
        <v>1146</v>
      </c>
      <c r="W108" s="55" t="s">
        <v>1147</v>
      </c>
      <c r="X108" s="55" t="s">
        <v>1154</v>
      </c>
      <c r="Y108" s="55" t="s">
        <v>1197</v>
      </c>
      <c r="Z108" s="55" t="s">
        <v>1194</v>
      </c>
    </row>
    <row r="109" spans="1:26">
      <c r="A109" s="55" t="s">
        <v>653</v>
      </c>
      <c r="B109" s="55" t="s">
        <v>272</v>
      </c>
      <c r="C109" s="55" t="s">
        <v>1142</v>
      </c>
      <c r="D109" s="55" t="s">
        <v>1143</v>
      </c>
      <c r="E109" s="55" t="s">
        <v>1143</v>
      </c>
      <c r="F109" s="55" t="s">
        <v>73</v>
      </c>
      <c r="G109" s="56">
        <v>1</v>
      </c>
      <c r="H109" s="56">
        <v>1</v>
      </c>
      <c r="I109" s="56">
        <v>0</v>
      </c>
      <c r="J109" s="56">
        <v>4</v>
      </c>
      <c r="K109" s="56">
        <v>0</v>
      </c>
      <c r="L109" s="56">
        <v>64070000</v>
      </c>
      <c r="M109" s="56">
        <v>6298538.77</v>
      </c>
      <c r="N109" s="56">
        <v>278622784.58</v>
      </c>
      <c r="O109" s="56">
        <v>47</v>
      </c>
      <c r="P109" s="56">
        <v>0</v>
      </c>
      <c r="Q109" s="56">
        <v>0</v>
      </c>
      <c r="R109" s="56">
        <v>0</v>
      </c>
      <c r="S109" s="56">
        <v>0</v>
      </c>
      <c r="T109" s="55" t="s">
        <v>1157</v>
      </c>
      <c r="U109" s="55" t="s">
        <v>1165</v>
      </c>
      <c r="V109" s="55" t="s">
        <v>1153</v>
      </c>
      <c r="W109" s="55" t="s">
        <v>1147</v>
      </c>
      <c r="X109" s="55" t="s">
        <v>1262</v>
      </c>
      <c r="Y109" s="55" t="s">
        <v>1197</v>
      </c>
      <c r="Z109" s="55" t="s">
        <v>1193</v>
      </c>
    </row>
    <row r="110" spans="1:26">
      <c r="A110" s="55" t="s">
        <v>654</v>
      </c>
      <c r="B110" s="55" t="s">
        <v>272</v>
      </c>
      <c r="C110" s="55" t="s">
        <v>1187</v>
      </c>
      <c r="D110" s="55" t="s">
        <v>1188</v>
      </c>
      <c r="E110" s="55" t="s">
        <v>1188</v>
      </c>
      <c r="F110" s="55" t="s">
        <v>74</v>
      </c>
      <c r="G110" s="56">
        <v>2</v>
      </c>
      <c r="H110" s="56">
        <v>2</v>
      </c>
      <c r="I110" s="56">
        <v>0</v>
      </c>
      <c r="J110" s="56">
        <v>10</v>
      </c>
      <c r="K110" s="56">
        <v>1</v>
      </c>
      <c r="L110" s="56">
        <v>1361860000</v>
      </c>
      <c r="M110" s="56">
        <v>1304027.14</v>
      </c>
      <c r="N110" s="56">
        <v>26080542.88</v>
      </c>
      <c r="O110" s="56">
        <v>250</v>
      </c>
      <c r="P110" s="56">
        <v>0</v>
      </c>
      <c r="Q110" s="56">
        <v>0</v>
      </c>
      <c r="R110" s="56">
        <v>0</v>
      </c>
      <c r="S110" s="56">
        <v>0</v>
      </c>
      <c r="T110" s="55" t="s">
        <v>1144</v>
      </c>
      <c r="U110" s="55" t="s">
        <v>1145</v>
      </c>
      <c r="V110" s="55" t="s">
        <v>1146</v>
      </c>
      <c r="W110" s="55" t="s">
        <v>1147</v>
      </c>
      <c r="X110" s="55" t="s">
        <v>1154</v>
      </c>
      <c r="Y110" s="55" t="s">
        <v>1197</v>
      </c>
      <c r="Z110" s="55" t="s">
        <v>1263</v>
      </c>
    </row>
    <row r="111" spans="1:26">
      <c r="A111" s="55" t="s">
        <v>655</v>
      </c>
      <c r="B111" s="55" t="s">
        <v>272</v>
      </c>
      <c r="C111" s="55" t="s">
        <v>1187</v>
      </c>
      <c r="D111" s="55" t="s">
        <v>1188</v>
      </c>
      <c r="E111" s="55" t="s">
        <v>1188</v>
      </c>
      <c r="F111" s="55" t="s">
        <v>74</v>
      </c>
      <c r="G111" s="56">
        <v>2</v>
      </c>
      <c r="H111" s="56">
        <v>2</v>
      </c>
      <c r="I111" s="56">
        <v>9</v>
      </c>
      <c r="J111" s="56">
        <v>19</v>
      </c>
      <c r="K111" s="56">
        <v>1</v>
      </c>
      <c r="L111" s="56">
        <v>683463000</v>
      </c>
      <c r="M111" s="56">
        <v>99730255.52</v>
      </c>
      <c r="N111" s="56">
        <v>3219635699.31</v>
      </c>
      <c r="O111" s="56">
        <v>153</v>
      </c>
      <c r="P111" s="56">
        <v>0</v>
      </c>
      <c r="Q111" s="56">
        <v>0</v>
      </c>
      <c r="R111" s="56">
        <v>0</v>
      </c>
      <c r="S111" s="56">
        <v>1</v>
      </c>
      <c r="T111" s="55" t="s">
        <v>1152</v>
      </c>
      <c r="U111" s="55" t="s">
        <v>1145</v>
      </c>
      <c r="V111" s="55" t="s">
        <v>1146</v>
      </c>
      <c r="W111" s="55" t="s">
        <v>1147</v>
      </c>
      <c r="X111" s="55" t="s">
        <v>1258</v>
      </c>
      <c r="Y111" s="55" t="s">
        <v>1197</v>
      </c>
      <c r="Z111" s="55" t="s">
        <v>1264</v>
      </c>
    </row>
    <row r="112" spans="1:26">
      <c r="A112" s="55" t="s">
        <v>656</v>
      </c>
      <c r="B112" s="55" t="s">
        <v>272</v>
      </c>
      <c r="C112" s="55" t="s">
        <v>1187</v>
      </c>
      <c r="D112" s="55" t="s">
        <v>1143</v>
      </c>
      <c r="E112" s="55" t="s">
        <v>1188</v>
      </c>
      <c r="F112" s="55" t="s">
        <v>73</v>
      </c>
      <c r="G112" s="56">
        <v>1</v>
      </c>
      <c r="H112" s="56">
        <v>2</v>
      </c>
      <c r="I112" s="56">
        <v>0</v>
      </c>
      <c r="J112" s="56">
        <v>51</v>
      </c>
      <c r="K112" s="56">
        <v>1</v>
      </c>
      <c r="L112" s="56">
        <v>463253892.28</v>
      </c>
      <c r="M112" s="56">
        <v>84140882.33</v>
      </c>
      <c r="N112" s="56">
        <v>2815041609.41</v>
      </c>
      <c r="O112" s="56">
        <v>236</v>
      </c>
      <c r="P112" s="56">
        <v>0</v>
      </c>
      <c r="Q112" s="56">
        <v>0</v>
      </c>
      <c r="R112" s="56">
        <v>0</v>
      </c>
      <c r="S112" s="56">
        <v>0</v>
      </c>
      <c r="T112" s="55" t="s">
        <v>1152</v>
      </c>
      <c r="U112" s="55" t="s">
        <v>1145</v>
      </c>
      <c r="V112" s="55" t="s">
        <v>1146</v>
      </c>
      <c r="W112" s="55" t="s">
        <v>1147</v>
      </c>
      <c r="X112" s="55" t="s">
        <v>1159</v>
      </c>
      <c r="Y112" s="55" t="s">
        <v>1197</v>
      </c>
      <c r="Z112" s="55" t="s">
        <v>1220</v>
      </c>
    </row>
    <row r="113" spans="1:26">
      <c r="A113" s="55" t="s">
        <v>657</v>
      </c>
      <c r="B113" s="55" t="s">
        <v>272</v>
      </c>
      <c r="C113" s="55" t="s">
        <v>1142</v>
      </c>
      <c r="D113" s="55" t="s">
        <v>1143</v>
      </c>
      <c r="E113" s="55" t="s">
        <v>1143</v>
      </c>
      <c r="F113" s="55" t="s">
        <v>73</v>
      </c>
      <c r="G113" s="56">
        <v>1</v>
      </c>
      <c r="H113" s="56">
        <v>1</v>
      </c>
      <c r="I113" s="56">
        <v>0</v>
      </c>
      <c r="J113" s="56">
        <v>11</v>
      </c>
      <c r="K113" s="56">
        <v>0</v>
      </c>
      <c r="L113" s="56">
        <v>80460000</v>
      </c>
      <c r="M113" s="56">
        <v>35006939.94</v>
      </c>
      <c r="N113" s="56">
        <v>717399798.55</v>
      </c>
      <c r="O113" s="56">
        <v>215</v>
      </c>
      <c r="P113" s="56">
        <v>0</v>
      </c>
      <c r="Q113" s="56">
        <v>0</v>
      </c>
      <c r="R113" s="56">
        <v>0</v>
      </c>
      <c r="S113" s="56">
        <v>0</v>
      </c>
      <c r="T113" s="55" t="s">
        <v>1152</v>
      </c>
      <c r="U113" s="55" t="s">
        <v>1145</v>
      </c>
      <c r="V113" s="55" t="s">
        <v>1146</v>
      </c>
      <c r="W113" s="55" t="s">
        <v>1168</v>
      </c>
      <c r="X113" s="55" t="s">
        <v>1154</v>
      </c>
      <c r="Y113" s="55" t="s">
        <v>1197</v>
      </c>
      <c r="Z113" s="55" t="s">
        <v>1239</v>
      </c>
    </row>
    <row r="114" spans="1:26">
      <c r="A114" s="55" t="s">
        <v>658</v>
      </c>
      <c r="B114" s="55" t="s">
        <v>272</v>
      </c>
      <c r="C114" s="55" t="s">
        <v>1142</v>
      </c>
      <c r="D114" s="55" t="s">
        <v>1143</v>
      </c>
      <c r="E114" s="55" t="s">
        <v>1143</v>
      </c>
      <c r="F114" s="55" t="s">
        <v>73</v>
      </c>
      <c r="G114" s="56">
        <v>1</v>
      </c>
      <c r="H114" s="56">
        <v>1</v>
      </c>
      <c r="I114" s="56">
        <v>0</v>
      </c>
      <c r="J114" s="56">
        <v>10</v>
      </c>
      <c r="K114" s="56">
        <v>0</v>
      </c>
      <c r="L114" s="56">
        <v>17880000</v>
      </c>
      <c r="M114" s="56">
        <v>33337.99</v>
      </c>
      <c r="N114" s="56">
        <v>666759.8199999999</v>
      </c>
      <c r="O114" s="56">
        <v>68</v>
      </c>
      <c r="P114" s="56">
        <v>0</v>
      </c>
      <c r="Q114" s="56">
        <v>0</v>
      </c>
      <c r="R114" s="56">
        <v>0</v>
      </c>
      <c r="S114" s="56">
        <v>0</v>
      </c>
      <c r="T114" s="55" t="s">
        <v>1255</v>
      </c>
      <c r="U114" s="55" t="s">
        <v>1145</v>
      </c>
      <c r="V114" s="55" t="s">
        <v>1146</v>
      </c>
      <c r="W114" s="55" t="s">
        <v>1168</v>
      </c>
      <c r="X114" s="55" t="s">
        <v>1154</v>
      </c>
      <c r="Y114" s="55" t="s">
        <v>1197</v>
      </c>
      <c r="Z114" s="55" t="s">
        <v>1265</v>
      </c>
    </row>
    <row r="115" spans="1:26">
      <c r="A115" s="55" t="s">
        <v>659</v>
      </c>
      <c r="B115" s="55" t="s">
        <v>272</v>
      </c>
      <c r="C115" s="55" t="s">
        <v>1142</v>
      </c>
      <c r="D115" s="55" t="s">
        <v>1143</v>
      </c>
      <c r="E115" s="55" t="s">
        <v>1143</v>
      </c>
      <c r="F115" s="55" t="s">
        <v>73</v>
      </c>
      <c r="G115" s="56">
        <v>1</v>
      </c>
      <c r="H115" s="56">
        <v>1</v>
      </c>
      <c r="I115" s="56">
        <v>0</v>
      </c>
      <c r="J115" s="56">
        <v>4</v>
      </c>
      <c r="K115" s="56">
        <v>0</v>
      </c>
      <c r="L115" s="56">
        <v>535178200</v>
      </c>
      <c r="M115" s="56">
        <v>4932712.16</v>
      </c>
      <c r="N115" s="56">
        <v>98654243.14</v>
      </c>
      <c r="O115" s="56">
        <v>135</v>
      </c>
      <c r="P115" s="56">
        <v>0</v>
      </c>
      <c r="Q115" s="56">
        <v>0</v>
      </c>
      <c r="R115" s="56">
        <v>0</v>
      </c>
      <c r="S115" s="56">
        <v>0</v>
      </c>
      <c r="T115" s="55" t="s">
        <v>1144</v>
      </c>
      <c r="U115" s="55" t="s">
        <v>1165</v>
      </c>
      <c r="V115" s="55" t="s">
        <v>1146</v>
      </c>
      <c r="W115" s="55" t="s">
        <v>1180</v>
      </c>
      <c r="X115" s="55" t="s">
        <v>1154</v>
      </c>
      <c r="Y115" s="55" t="s">
        <v>1206</v>
      </c>
      <c r="Z115" s="55" t="s">
        <v>1193</v>
      </c>
    </row>
    <row r="116" spans="1:26">
      <c r="A116" s="55" t="s">
        <v>660</v>
      </c>
      <c r="B116" s="55" t="s">
        <v>272</v>
      </c>
      <c r="C116" s="55" t="s">
        <v>1187</v>
      </c>
      <c r="D116" s="55" t="s">
        <v>1188</v>
      </c>
      <c r="E116" s="55" t="s">
        <v>1188</v>
      </c>
      <c r="F116" s="55" t="s">
        <v>74</v>
      </c>
      <c r="G116" s="56">
        <v>2</v>
      </c>
      <c r="H116" s="56">
        <v>2</v>
      </c>
      <c r="I116" s="56">
        <v>0</v>
      </c>
      <c r="J116" s="56">
        <v>7</v>
      </c>
      <c r="K116" s="56">
        <v>0</v>
      </c>
      <c r="L116" s="56">
        <v>144530000</v>
      </c>
      <c r="M116" s="56">
        <v>211186.02</v>
      </c>
      <c r="N116" s="56">
        <v>4223720.4</v>
      </c>
      <c r="O116" s="56">
        <v>113</v>
      </c>
      <c r="P116" s="56">
        <v>0</v>
      </c>
      <c r="Q116" s="56">
        <v>0</v>
      </c>
      <c r="R116" s="56">
        <v>0</v>
      </c>
      <c r="S116" s="56">
        <v>0</v>
      </c>
      <c r="T116" s="55" t="s">
        <v>1157</v>
      </c>
      <c r="U116" s="55" t="s">
        <v>1165</v>
      </c>
      <c r="V116" s="55" t="s">
        <v>1153</v>
      </c>
      <c r="W116" s="55" t="s">
        <v>1147</v>
      </c>
      <c r="X116" s="55" t="s">
        <v>1154</v>
      </c>
      <c r="Y116" s="55" t="s">
        <v>1197</v>
      </c>
      <c r="Z116" s="55" t="s">
        <v>1156</v>
      </c>
    </row>
    <row r="117" spans="1:26">
      <c r="A117" s="55" t="s">
        <v>661</v>
      </c>
      <c r="B117" s="55" t="s">
        <v>272</v>
      </c>
      <c r="C117" s="55" t="s">
        <v>1236</v>
      </c>
      <c r="D117" s="55" t="s">
        <v>1143</v>
      </c>
      <c r="E117" s="55" t="s">
        <v>87</v>
      </c>
      <c r="F117" s="55" t="s">
        <v>73</v>
      </c>
      <c r="G117" s="56">
        <v>1</v>
      </c>
      <c r="H117" s="56">
        <v>5</v>
      </c>
      <c r="I117" s="56">
        <v>0</v>
      </c>
      <c r="J117" s="56">
        <v>34</v>
      </c>
      <c r="K117" s="56">
        <v>0</v>
      </c>
      <c r="L117" s="56">
        <v>207110000</v>
      </c>
      <c r="M117" s="56">
        <v>2027949.73</v>
      </c>
      <c r="N117" s="56">
        <v>40558994.56</v>
      </c>
      <c r="O117" s="56">
        <v>164</v>
      </c>
      <c r="P117" s="56">
        <v>0</v>
      </c>
      <c r="Q117" s="56">
        <v>0</v>
      </c>
      <c r="R117" s="56">
        <v>1</v>
      </c>
      <c r="S117" s="56">
        <v>0</v>
      </c>
      <c r="T117" s="55" t="s">
        <v>1152</v>
      </c>
      <c r="U117" s="55" t="s">
        <v>1165</v>
      </c>
      <c r="V117" s="55" t="s">
        <v>1146</v>
      </c>
      <c r="W117" s="55" t="s">
        <v>1158</v>
      </c>
      <c r="X117" s="55" t="s">
        <v>1258</v>
      </c>
      <c r="Y117" s="55" t="s">
        <v>1197</v>
      </c>
      <c r="Z117" s="55" t="s">
        <v>1266</v>
      </c>
    </row>
    <row r="118" spans="1:26">
      <c r="A118" s="55" t="s">
        <v>662</v>
      </c>
      <c r="B118" s="55" t="s">
        <v>272</v>
      </c>
      <c r="C118" s="55" t="s">
        <v>1142</v>
      </c>
      <c r="D118" s="55" t="s">
        <v>1143</v>
      </c>
      <c r="E118" s="55" t="s">
        <v>1143</v>
      </c>
      <c r="F118" s="55" t="s">
        <v>73</v>
      </c>
      <c r="G118" s="56">
        <v>1</v>
      </c>
      <c r="H118" s="56">
        <v>1</v>
      </c>
      <c r="I118" s="56">
        <v>0</v>
      </c>
      <c r="J118" s="56">
        <v>2</v>
      </c>
      <c r="K118" s="56">
        <v>0</v>
      </c>
      <c r="L118" s="56">
        <v>0</v>
      </c>
      <c r="M118" s="56">
        <v>11336693.01</v>
      </c>
      <c r="N118" s="56">
        <v>920005732.8</v>
      </c>
      <c r="O118" s="56">
        <v>85</v>
      </c>
      <c r="P118" s="56">
        <v>1</v>
      </c>
      <c r="Q118" s="56">
        <v>0</v>
      </c>
      <c r="R118" s="56">
        <v>0</v>
      </c>
      <c r="S118" s="56">
        <v>0</v>
      </c>
      <c r="T118" s="55" t="s">
        <v>1167</v>
      </c>
      <c r="U118" s="55" t="s">
        <v>1145</v>
      </c>
      <c r="V118" s="55" t="s">
        <v>1146</v>
      </c>
      <c r="W118" s="55" t="s">
        <v>1147</v>
      </c>
      <c r="X118" s="55" t="s">
        <v>1159</v>
      </c>
      <c r="Y118" s="55" t="s">
        <v>1199</v>
      </c>
      <c r="Z118" s="55" t="s">
        <v>1267</v>
      </c>
    </row>
    <row r="119" spans="1:26">
      <c r="A119" s="55" t="s">
        <v>663</v>
      </c>
      <c r="B119" s="55" t="s">
        <v>272</v>
      </c>
      <c r="C119" s="55" t="s">
        <v>1142</v>
      </c>
      <c r="D119" s="55" t="s">
        <v>1143</v>
      </c>
      <c r="E119" s="55" t="s">
        <v>1143</v>
      </c>
      <c r="F119" s="55" t="s">
        <v>73</v>
      </c>
      <c r="G119" s="56">
        <v>1</v>
      </c>
      <c r="H119" s="56">
        <v>1</v>
      </c>
      <c r="I119" s="56">
        <v>0</v>
      </c>
      <c r="J119" s="56">
        <v>14</v>
      </c>
      <c r="K119" s="56">
        <v>0</v>
      </c>
      <c r="L119" s="56">
        <v>6532831.25</v>
      </c>
      <c r="M119" s="56">
        <v>1492025.42</v>
      </c>
      <c r="N119" s="56">
        <v>6532831.25</v>
      </c>
      <c r="O119" s="56">
        <v>26</v>
      </c>
      <c r="P119" s="56">
        <v>0</v>
      </c>
      <c r="Q119" s="56">
        <v>0</v>
      </c>
      <c r="R119" s="56">
        <v>0</v>
      </c>
      <c r="S119" s="56">
        <v>0</v>
      </c>
      <c r="T119" s="55" t="s">
        <v>1162</v>
      </c>
      <c r="U119" s="55" t="s">
        <v>1145</v>
      </c>
      <c r="V119" s="55" t="s">
        <v>1153</v>
      </c>
      <c r="W119" s="55" t="s">
        <v>1168</v>
      </c>
      <c r="X119" s="55" t="s">
        <v>1154</v>
      </c>
      <c r="Y119" s="55" t="s">
        <v>1199</v>
      </c>
      <c r="Z119" s="55" t="s">
        <v>1267</v>
      </c>
    </row>
    <row r="120" spans="1:26">
      <c r="A120" s="55" t="s">
        <v>664</v>
      </c>
      <c r="B120" s="55" t="s">
        <v>546</v>
      </c>
      <c r="C120" s="55" t="s">
        <v>1151</v>
      </c>
      <c r="D120" s="55" t="s">
        <v>87</v>
      </c>
      <c r="E120" s="55" t="s">
        <v>87</v>
      </c>
      <c r="F120" s="55" t="s">
        <v>75</v>
      </c>
      <c r="G120" s="56">
        <v>5</v>
      </c>
      <c r="H120" s="56">
        <v>5</v>
      </c>
      <c r="I120" s="56">
        <v>181</v>
      </c>
      <c r="J120" s="56">
        <v>9</v>
      </c>
      <c r="K120" s="56">
        <v>1</v>
      </c>
      <c r="L120" s="56">
        <v>149745000</v>
      </c>
      <c r="M120" s="56">
        <v>6244857.15</v>
      </c>
      <c r="N120" s="56">
        <v>257103826.18</v>
      </c>
      <c r="O120" s="56">
        <v>131</v>
      </c>
      <c r="P120" s="56">
        <v>0</v>
      </c>
      <c r="Q120" s="56">
        <v>1</v>
      </c>
      <c r="R120" s="56">
        <v>1</v>
      </c>
      <c r="S120" s="56">
        <v>1</v>
      </c>
      <c r="T120" s="55" t="s">
        <v>1152</v>
      </c>
      <c r="U120" s="55" t="s">
        <v>1145</v>
      </c>
      <c r="V120" s="55" t="s">
        <v>1153</v>
      </c>
      <c r="W120" s="55" t="s">
        <v>1147</v>
      </c>
      <c r="X120" s="55" t="s">
        <v>1159</v>
      </c>
      <c r="Y120" s="55" t="s">
        <v>1199</v>
      </c>
      <c r="Z120" s="55" t="s">
        <v>1268</v>
      </c>
    </row>
    <row r="121" spans="1:26">
      <c r="A121" s="55" t="s">
        <v>665</v>
      </c>
      <c r="B121" s="55" t="s">
        <v>272</v>
      </c>
      <c r="C121" s="55" t="s">
        <v>1142</v>
      </c>
      <c r="D121" s="55" t="s">
        <v>1143</v>
      </c>
      <c r="E121" s="55" t="s">
        <v>1143</v>
      </c>
      <c r="F121" s="55" t="s">
        <v>73</v>
      </c>
      <c r="G121" s="56">
        <v>1</v>
      </c>
      <c r="H121" s="56">
        <v>1</v>
      </c>
      <c r="I121" s="56">
        <v>0</v>
      </c>
      <c r="J121" s="56">
        <v>29</v>
      </c>
      <c r="K121" s="56">
        <v>0</v>
      </c>
      <c r="L121" s="56">
        <v>0</v>
      </c>
      <c r="M121" s="56">
        <v>228008.26</v>
      </c>
      <c r="N121" s="56">
        <v>9105650.880000001</v>
      </c>
      <c r="O121" s="56">
        <v>21</v>
      </c>
      <c r="P121" s="56">
        <v>1</v>
      </c>
      <c r="Q121" s="56">
        <v>0</v>
      </c>
      <c r="R121" s="56">
        <v>0</v>
      </c>
      <c r="S121" s="56">
        <v>0</v>
      </c>
      <c r="T121" s="55" t="s">
        <v>1167</v>
      </c>
      <c r="U121" s="55" t="s">
        <v>1165</v>
      </c>
      <c r="V121" s="55" t="s">
        <v>1153</v>
      </c>
      <c r="W121" s="55" t="s">
        <v>1147</v>
      </c>
      <c r="X121" s="55" t="s">
        <v>1154</v>
      </c>
      <c r="Y121" s="55" t="s">
        <v>1199</v>
      </c>
      <c r="Z121" s="55" t="s">
        <v>1156</v>
      </c>
    </row>
    <row r="122" spans="1:26">
      <c r="A122" s="55" t="s">
        <v>666</v>
      </c>
      <c r="B122" s="55" t="s">
        <v>272</v>
      </c>
      <c r="C122" s="55" t="s">
        <v>1142</v>
      </c>
      <c r="D122" s="55" t="s">
        <v>1143</v>
      </c>
      <c r="E122" s="55" t="s">
        <v>1143</v>
      </c>
      <c r="F122" s="55" t="s">
        <v>73</v>
      </c>
      <c r="G122" s="56">
        <v>1</v>
      </c>
      <c r="H122" s="56">
        <v>1</v>
      </c>
      <c r="I122" s="56">
        <v>0</v>
      </c>
      <c r="J122" s="56">
        <v>11</v>
      </c>
      <c r="K122" s="56">
        <v>0</v>
      </c>
      <c r="L122" s="56">
        <v>207110000</v>
      </c>
      <c r="M122" s="56">
        <v>585812.52</v>
      </c>
      <c r="N122" s="56">
        <v>11716250.3</v>
      </c>
      <c r="O122" s="56">
        <v>151</v>
      </c>
      <c r="P122" s="56">
        <v>0</v>
      </c>
      <c r="Q122" s="56">
        <v>0</v>
      </c>
      <c r="R122" s="56">
        <v>0</v>
      </c>
      <c r="S122" s="56">
        <v>0</v>
      </c>
      <c r="T122" s="55" t="s">
        <v>1157</v>
      </c>
      <c r="U122" s="55" t="s">
        <v>1165</v>
      </c>
      <c r="V122" s="55" t="s">
        <v>1153</v>
      </c>
      <c r="W122" s="55" t="s">
        <v>1168</v>
      </c>
      <c r="X122" s="55" t="s">
        <v>1148</v>
      </c>
      <c r="Y122" s="55" t="s">
        <v>1199</v>
      </c>
      <c r="Z122" s="55" t="s">
        <v>1150</v>
      </c>
    </row>
    <row r="123" spans="1:26">
      <c r="A123" s="55" t="s">
        <v>667</v>
      </c>
      <c r="B123" s="55" t="s">
        <v>272</v>
      </c>
      <c r="C123" s="55" t="s">
        <v>1142</v>
      </c>
      <c r="D123" s="55" t="s">
        <v>1143</v>
      </c>
      <c r="E123" s="55" t="s">
        <v>1143</v>
      </c>
      <c r="F123" s="55" t="s">
        <v>73</v>
      </c>
      <c r="G123" s="56">
        <v>1</v>
      </c>
      <c r="H123" s="56">
        <v>1</v>
      </c>
      <c r="I123" s="56">
        <v>0</v>
      </c>
      <c r="J123" s="56">
        <v>1</v>
      </c>
      <c r="K123" s="56">
        <v>0</v>
      </c>
      <c r="L123" s="56">
        <v>29800000</v>
      </c>
      <c r="M123" s="56">
        <v>396541.05</v>
      </c>
      <c r="N123" s="56">
        <v>7930821</v>
      </c>
      <c r="O123" s="56">
        <v>8</v>
      </c>
      <c r="P123" s="56">
        <v>0</v>
      </c>
      <c r="Q123" s="56">
        <v>0</v>
      </c>
      <c r="R123" s="56">
        <v>0</v>
      </c>
      <c r="S123" s="56">
        <v>0</v>
      </c>
      <c r="T123" s="55" t="s">
        <v>1173</v>
      </c>
      <c r="U123" s="55" t="s">
        <v>1145</v>
      </c>
      <c r="V123" s="55" t="s">
        <v>1153</v>
      </c>
      <c r="W123" s="55" t="s">
        <v>1147</v>
      </c>
      <c r="X123" s="55" t="s">
        <v>1154</v>
      </c>
      <c r="Y123" s="55" t="s">
        <v>1199</v>
      </c>
      <c r="Z123" s="55" t="s">
        <v>1209</v>
      </c>
    </row>
    <row r="124" spans="1:26">
      <c r="A124" s="55" t="s">
        <v>668</v>
      </c>
      <c r="B124" s="55" t="s">
        <v>272</v>
      </c>
      <c r="C124" s="55" t="s">
        <v>1187</v>
      </c>
      <c r="D124" s="55" t="s">
        <v>1188</v>
      </c>
      <c r="E124" s="55" t="s">
        <v>1188</v>
      </c>
      <c r="F124" s="55" t="s">
        <v>74</v>
      </c>
      <c r="G124" s="56">
        <v>2</v>
      </c>
      <c r="H124" s="56">
        <v>2</v>
      </c>
      <c r="I124" s="56">
        <v>0</v>
      </c>
      <c r="J124" s="56">
        <v>20</v>
      </c>
      <c r="K124" s="56">
        <v>1</v>
      </c>
      <c r="L124" s="56">
        <v>451470000</v>
      </c>
      <c r="M124" s="56">
        <v>1215269.04</v>
      </c>
      <c r="N124" s="56">
        <v>24305380.72</v>
      </c>
      <c r="O124" s="56">
        <v>144</v>
      </c>
      <c r="P124" s="56">
        <v>0</v>
      </c>
      <c r="Q124" s="56">
        <v>0</v>
      </c>
      <c r="R124" s="56">
        <v>0</v>
      </c>
      <c r="S124" s="56">
        <v>0</v>
      </c>
      <c r="T124" s="55" t="s">
        <v>1157</v>
      </c>
      <c r="U124" s="55" t="s">
        <v>1145</v>
      </c>
      <c r="V124" s="55" t="s">
        <v>1153</v>
      </c>
      <c r="W124" s="55" t="s">
        <v>1180</v>
      </c>
      <c r="X124" s="55" t="s">
        <v>1221</v>
      </c>
      <c r="Y124" s="55" t="s">
        <v>1206</v>
      </c>
      <c r="Z124" s="55" t="s">
        <v>1230</v>
      </c>
    </row>
    <row r="125" spans="1:26">
      <c r="A125" s="55" t="s">
        <v>669</v>
      </c>
      <c r="B125" s="55" t="s">
        <v>272</v>
      </c>
      <c r="C125" s="55" t="s">
        <v>1142</v>
      </c>
      <c r="D125" s="55" t="s">
        <v>1143</v>
      </c>
      <c r="E125" s="55" t="s">
        <v>1143</v>
      </c>
      <c r="F125" s="55" t="s">
        <v>73</v>
      </c>
      <c r="G125" s="56">
        <v>1</v>
      </c>
      <c r="H125" s="56">
        <v>1</v>
      </c>
      <c r="I125" s="56">
        <v>0</v>
      </c>
      <c r="J125" s="56">
        <v>4</v>
      </c>
      <c r="K125" s="56">
        <v>0</v>
      </c>
      <c r="L125" s="56">
        <v>74500000</v>
      </c>
      <c r="M125" s="56">
        <v>707364.98</v>
      </c>
      <c r="N125" s="56">
        <v>14147299.68</v>
      </c>
      <c r="O125" s="56">
        <v>186</v>
      </c>
      <c r="P125" s="56">
        <v>0</v>
      </c>
      <c r="Q125" s="56">
        <v>0</v>
      </c>
      <c r="R125" s="56">
        <v>0</v>
      </c>
      <c r="S125" s="56">
        <v>0</v>
      </c>
      <c r="T125" s="55" t="s">
        <v>1167</v>
      </c>
      <c r="U125" s="55" t="s">
        <v>1145</v>
      </c>
      <c r="V125" s="55" t="s">
        <v>1153</v>
      </c>
      <c r="W125" s="55" t="s">
        <v>1180</v>
      </c>
      <c r="X125" s="55" t="s">
        <v>1258</v>
      </c>
      <c r="Y125" s="55" t="s">
        <v>1197</v>
      </c>
      <c r="Z125" s="55" t="s">
        <v>1193</v>
      </c>
    </row>
    <row r="126" spans="1:26">
      <c r="A126" s="55" t="s">
        <v>670</v>
      </c>
      <c r="B126" s="55" t="s">
        <v>272</v>
      </c>
      <c r="C126" s="55" t="s">
        <v>1142</v>
      </c>
      <c r="D126" s="55" t="s">
        <v>1143</v>
      </c>
      <c r="E126" s="55" t="s">
        <v>1143</v>
      </c>
      <c r="F126" s="55" t="s">
        <v>73</v>
      </c>
      <c r="G126" s="56">
        <v>1</v>
      </c>
      <c r="H126" s="56">
        <v>1</v>
      </c>
      <c r="I126" s="56">
        <v>0</v>
      </c>
      <c r="J126" s="56">
        <v>3</v>
      </c>
      <c r="K126" s="56">
        <v>0</v>
      </c>
      <c r="L126" s="56">
        <v>123670000</v>
      </c>
      <c r="M126" s="56">
        <v>402923.05</v>
      </c>
      <c r="N126" s="56">
        <v>8058461.04</v>
      </c>
      <c r="O126" s="56">
        <v>152</v>
      </c>
      <c r="P126" s="56">
        <v>0</v>
      </c>
      <c r="Q126" s="56">
        <v>0</v>
      </c>
      <c r="R126" s="56">
        <v>0</v>
      </c>
      <c r="S126" s="56">
        <v>0</v>
      </c>
      <c r="T126" s="55" t="s">
        <v>1255</v>
      </c>
      <c r="U126" s="55" t="s">
        <v>1145</v>
      </c>
      <c r="V126" s="55" t="s">
        <v>1146</v>
      </c>
      <c r="W126" s="55" t="s">
        <v>1147</v>
      </c>
      <c r="X126" s="55" t="s">
        <v>1269</v>
      </c>
      <c r="Y126" s="55" t="s">
        <v>1199</v>
      </c>
      <c r="Z126" s="55" t="s">
        <v>1185</v>
      </c>
    </row>
    <row r="127" spans="1:26">
      <c r="A127" s="55" t="s">
        <v>671</v>
      </c>
      <c r="B127" s="55" t="s">
        <v>272</v>
      </c>
      <c r="C127" s="55" t="s">
        <v>1142</v>
      </c>
      <c r="D127" s="55" t="s">
        <v>1143</v>
      </c>
      <c r="E127" s="55" t="s">
        <v>1143</v>
      </c>
      <c r="F127" s="55" t="s">
        <v>73</v>
      </c>
      <c r="G127" s="56">
        <v>1</v>
      </c>
      <c r="H127" s="56">
        <v>1</v>
      </c>
      <c r="I127" s="56">
        <v>0</v>
      </c>
      <c r="J127" s="56">
        <v>7</v>
      </c>
      <c r="K127" s="56">
        <v>0</v>
      </c>
      <c r="L127" s="56">
        <v>1043894000</v>
      </c>
      <c r="M127" s="56">
        <v>257580.92</v>
      </c>
      <c r="N127" s="56">
        <v>5151618.48</v>
      </c>
      <c r="O127" s="56">
        <v>238</v>
      </c>
      <c r="P127" s="56">
        <v>0</v>
      </c>
      <c r="Q127" s="56">
        <v>0</v>
      </c>
      <c r="R127" s="56">
        <v>0</v>
      </c>
      <c r="S127" s="56">
        <v>0</v>
      </c>
      <c r="T127" s="55" t="s">
        <v>1144</v>
      </c>
      <c r="U127" s="55" t="s">
        <v>1145</v>
      </c>
      <c r="V127" s="55" t="s">
        <v>1146</v>
      </c>
      <c r="W127" s="55" t="s">
        <v>1168</v>
      </c>
      <c r="X127" s="55" t="s">
        <v>1154</v>
      </c>
      <c r="Y127" s="55" t="s">
        <v>1199</v>
      </c>
      <c r="Z127" s="55" t="s">
        <v>1190</v>
      </c>
    </row>
    <row r="128" spans="1:26">
      <c r="A128" s="55" t="s">
        <v>672</v>
      </c>
      <c r="B128" s="55" t="s">
        <v>272</v>
      </c>
      <c r="C128" s="55" t="s">
        <v>1142</v>
      </c>
      <c r="D128" s="55" t="s">
        <v>1143</v>
      </c>
      <c r="E128" s="55" t="s">
        <v>1143</v>
      </c>
      <c r="F128" s="55" t="s">
        <v>73</v>
      </c>
      <c r="G128" s="56">
        <v>1</v>
      </c>
      <c r="H128" s="56">
        <v>1</v>
      </c>
      <c r="I128" s="56">
        <v>0</v>
      </c>
      <c r="J128" s="56">
        <v>223</v>
      </c>
      <c r="K128" s="56">
        <v>0</v>
      </c>
      <c r="L128" s="56">
        <v>11771010.52</v>
      </c>
      <c r="M128" s="56">
        <v>3798967.01</v>
      </c>
      <c r="N128" s="56">
        <v>11771010.52</v>
      </c>
      <c r="O128" s="56">
        <v>189</v>
      </c>
      <c r="P128" s="56">
        <v>0</v>
      </c>
      <c r="Q128" s="56">
        <v>0</v>
      </c>
      <c r="R128" s="56">
        <v>0</v>
      </c>
      <c r="S128" s="56">
        <v>0</v>
      </c>
      <c r="T128" s="55" t="s">
        <v>1144</v>
      </c>
      <c r="U128" s="55" t="s">
        <v>1165</v>
      </c>
      <c r="V128" s="55" t="s">
        <v>1146</v>
      </c>
      <c r="W128" s="55" t="s">
        <v>1168</v>
      </c>
      <c r="X128" s="55" t="s">
        <v>1154</v>
      </c>
      <c r="Y128" s="55" t="s">
        <v>1210</v>
      </c>
      <c r="Z128" s="55" t="s">
        <v>1172</v>
      </c>
    </row>
    <row r="129" spans="1:26">
      <c r="A129" s="55" t="s">
        <v>673</v>
      </c>
      <c r="B129" s="55" t="s">
        <v>272</v>
      </c>
      <c r="C129" s="55" t="s">
        <v>1142</v>
      </c>
      <c r="D129" s="55" t="s">
        <v>1143</v>
      </c>
      <c r="E129" s="55" t="s">
        <v>1143</v>
      </c>
      <c r="F129" s="55" t="s">
        <v>73</v>
      </c>
      <c r="G129" s="56">
        <v>1</v>
      </c>
      <c r="H129" s="56">
        <v>1</v>
      </c>
      <c r="I129" s="56">
        <v>0</v>
      </c>
      <c r="J129" s="56">
        <v>3</v>
      </c>
      <c r="K129" s="56">
        <v>0</v>
      </c>
      <c r="L129" s="56">
        <v>223500000</v>
      </c>
      <c r="M129" s="56">
        <v>3196434.68</v>
      </c>
      <c r="N129" s="56">
        <v>63928693.52</v>
      </c>
      <c r="O129" s="56">
        <v>115</v>
      </c>
      <c r="P129" s="56">
        <v>0</v>
      </c>
      <c r="Q129" s="56">
        <v>0</v>
      </c>
      <c r="R129" s="56">
        <v>0</v>
      </c>
      <c r="S129" s="56">
        <v>0</v>
      </c>
      <c r="T129" s="55" t="s">
        <v>1173</v>
      </c>
      <c r="U129" s="55" t="s">
        <v>1145</v>
      </c>
      <c r="V129" s="55" t="s">
        <v>1146</v>
      </c>
      <c r="W129" s="55" t="s">
        <v>1147</v>
      </c>
      <c r="X129" s="55" t="s">
        <v>1159</v>
      </c>
      <c r="Y129" s="55" t="s">
        <v>1199</v>
      </c>
      <c r="Z129" s="55" t="s">
        <v>1270</v>
      </c>
    </row>
    <row r="130" spans="1:26">
      <c r="A130" s="55" t="s">
        <v>674</v>
      </c>
      <c r="B130" s="55" t="s">
        <v>272</v>
      </c>
      <c r="C130" s="55" t="s">
        <v>1142</v>
      </c>
      <c r="D130" s="55" t="s">
        <v>1143</v>
      </c>
      <c r="E130" s="55" t="s">
        <v>1143</v>
      </c>
      <c r="F130" s="55" t="s">
        <v>73</v>
      </c>
      <c r="G130" s="56">
        <v>1</v>
      </c>
      <c r="H130" s="56">
        <v>1</v>
      </c>
      <c r="I130" s="56">
        <v>0</v>
      </c>
      <c r="J130" s="56">
        <v>8</v>
      </c>
      <c r="K130" s="56">
        <v>0</v>
      </c>
      <c r="L130" s="56">
        <v>585570000</v>
      </c>
      <c r="M130" s="56">
        <v>2695728.58</v>
      </c>
      <c r="N130" s="56">
        <v>53914571.58</v>
      </c>
      <c r="O130" s="56">
        <v>213</v>
      </c>
      <c r="P130" s="56">
        <v>0</v>
      </c>
      <c r="Q130" s="56">
        <v>0</v>
      </c>
      <c r="R130" s="56">
        <v>0</v>
      </c>
      <c r="S130" s="56">
        <v>0</v>
      </c>
      <c r="T130" s="55" t="s">
        <v>1152</v>
      </c>
      <c r="U130" s="55" t="s">
        <v>1145</v>
      </c>
      <c r="V130" s="55" t="s">
        <v>1146</v>
      </c>
      <c r="W130" s="55" t="s">
        <v>1168</v>
      </c>
      <c r="X130" s="55" t="s">
        <v>1174</v>
      </c>
      <c r="Y130" s="55" t="s">
        <v>1199</v>
      </c>
      <c r="Z130" s="55" t="s">
        <v>1172</v>
      </c>
    </row>
    <row r="131" spans="1:26">
      <c r="A131" s="55" t="s">
        <v>675</v>
      </c>
      <c r="B131" s="55" t="s">
        <v>272</v>
      </c>
      <c r="C131" s="55" t="s">
        <v>1142</v>
      </c>
      <c r="D131" s="55" t="s">
        <v>1143</v>
      </c>
      <c r="E131" s="55" t="s">
        <v>1143</v>
      </c>
      <c r="F131" s="55" t="s">
        <v>73</v>
      </c>
      <c r="G131" s="56">
        <v>1</v>
      </c>
      <c r="H131" s="56">
        <v>1</v>
      </c>
      <c r="I131" s="56">
        <v>0</v>
      </c>
      <c r="J131" s="56">
        <v>2</v>
      </c>
      <c r="K131" s="56">
        <v>0</v>
      </c>
      <c r="L131" s="56">
        <v>0</v>
      </c>
      <c r="M131" s="56">
        <v>0</v>
      </c>
      <c r="N131" s="56">
        <v>0</v>
      </c>
      <c r="O131" s="56">
        <v>22</v>
      </c>
      <c r="P131" s="56">
        <v>1</v>
      </c>
      <c r="Q131" s="56">
        <v>0</v>
      </c>
      <c r="R131" s="56">
        <v>0</v>
      </c>
      <c r="S131" s="56">
        <v>0</v>
      </c>
      <c r="T131" s="55" t="s">
        <v>1157</v>
      </c>
      <c r="U131" s="55" t="s">
        <v>1165</v>
      </c>
      <c r="V131" s="55" t="s">
        <v>1153</v>
      </c>
      <c r="W131" s="55" t="s">
        <v>1181</v>
      </c>
      <c r="X131" s="55" t="s">
        <v>1154</v>
      </c>
      <c r="Y131" s="55" t="s">
        <v>1199</v>
      </c>
      <c r="Z131" s="55" t="s">
        <v>1196</v>
      </c>
    </row>
    <row r="132" spans="1:26">
      <c r="A132" s="55" t="s">
        <v>676</v>
      </c>
      <c r="B132" s="55" t="s">
        <v>272</v>
      </c>
      <c r="C132" s="55" t="s">
        <v>1142</v>
      </c>
      <c r="D132" s="55" t="s">
        <v>1143</v>
      </c>
      <c r="E132" s="55" t="s">
        <v>1143</v>
      </c>
      <c r="F132" s="55" t="s">
        <v>73</v>
      </c>
      <c r="G132" s="56">
        <v>1</v>
      </c>
      <c r="H132" s="56">
        <v>1</v>
      </c>
      <c r="I132" s="56">
        <v>0</v>
      </c>
      <c r="J132" s="56">
        <v>3</v>
      </c>
      <c r="K132" s="56">
        <v>0</v>
      </c>
      <c r="L132" s="56">
        <v>11920000</v>
      </c>
      <c r="M132" s="56">
        <v>8242322.09</v>
      </c>
      <c r="N132" s="56">
        <v>34893250.89</v>
      </c>
      <c r="O132" s="56">
        <v>51</v>
      </c>
      <c r="P132" s="56">
        <v>0</v>
      </c>
      <c r="Q132" s="56">
        <v>0</v>
      </c>
      <c r="R132" s="56">
        <v>0</v>
      </c>
      <c r="S132" s="56">
        <v>0</v>
      </c>
      <c r="T132" s="55" t="s">
        <v>1162</v>
      </c>
      <c r="U132" s="55" t="s">
        <v>1165</v>
      </c>
      <c r="V132" s="55" t="s">
        <v>1153</v>
      </c>
      <c r="W132" s="55" t="s">
        <v>1147</v>
      </c>
      <c r="X132" s="55" t="s">
        <v>1221</v>
      </c>
      <c r="Y132" s="55" t="s">
        <v>1199</v>
      </c>
      <c r="Z132" s="55" t="s">
        <v>1271</v>
      </c>
    </row>
    <row r="133" spans="1:26">
      <c r="A133" s="55" t="s">
        <v>677</v>
      </c>
      <c r="B133" s="55" t="s">
        <v>272</v>
      </c>
      <c r="C133" s="55" t="s">
        <v>1142</v>
      </c>
      <c r="D133" s="55" t="s">
        <v>1143</v>
      </c>
      <c r="E133" s="55" t="s">
        <v>1143</v>
      </c>
      <c r="F133" s="55" t="s">
        <v>73</v>
      </c>
      <c r="G133" s="56">
        <v>1</v>
      </c>
      <c r="H133" s="56">
        <v>1</v>
      </c>
      <c r="I133" s="56">
        <v>0</v>
      </c>
      <c r="J133" s="56">
        <v>15</v>
      </c>
      <c r="K133" s="56">
        <v>0</v>
      </c>
      <c r="L133" s="56">
        <v>442530000</v>
      </c>
      <c r="M133" s="56">
        <v>155133356.7</v>
      </c>
      <c r="N133" s="56">
        <v>1557431324.2</v>
      </c>
      <c r="O133" s="56">
        <v>60</v>
      </c>
      <c r="P133" s="56">
        <v>0</v>
      </c>
      <c r="Q133" s="56">
        <v>0</v>
      </c>
      <c r="R133" s="56">
        <v>0</v>
      </c>
      <c r="S133" s="56">
        <v>0</v>
      </c>
      <c r="T133" s="55" t="s">
        <v>1152</v>
      </c>
      <c r="U133" s="55" t="s">
        <v>1145</v>
      </c>
      <c r="V133" s="55" t="s">
        <v>1146</v>
      </c>
      <c r="W133" s="55" t="s">
        <v>1181</v>
      </c>
      <c r="X133" s="55" t="s">
        <v>1154</v>
      </c>
      <c r="Y133" s="55" t="s">
        <v>1199</v>
      </c>
      <c r="Z133" s="55" t="s">
        <v>1265</v>
      </c>
    </row>
    <row r="134" spans="1:26">
      <c r="A134" s="55" t="s">
        <v>678</v>
      </c>
      <c r="B134" s="55" t="s">
        <v>272</v>
      </c>
      <c r="C134" s="55" t="s">
        <v>1142</v>
      </c>
      <c r="D134" s="55" t="s">
        <v>1143</v>
      </c>
      <c r="E134" s="55" t="s">
        <v>1143</v>
      </c>
      <c r="F134" s="55" t="s">
        <v>73</v>
      </c>
      <c r="G134" s="56">
        <v>1</v>
      </c>
      <c r="H134" s="56">
        <v>1</v>
      </c>
      <c r="I134" s="56">
        <v>0</v>
      </c>
      <c r="J134" s="56">
        <v>3</v>
      </c>
      <c r="K134" s="56">
        <v>0</v>
      </c>
      <c r="L134" s="56">
        <v>29800000</v>
      </c>
      <c r="M134" s="56">
        <v>4635.9</v>
      </c>
      <c r="N134" s="56">
        <v>92718</v>
      </c>
      <c r="O134" s="56">
        <v>23</v>
      </c>
      <c r="P134" s="56">
        <v>0</v>
      </c>
      <c r="Q134" s="56">
        <v>0</v>
      </c>
      <c r="R134" s="56">
        <v>0</v>
      </c>
      <c r="S134" s="56">
        <v>0</v>
      </c>
      <c r="T134" s="55" t="s">
        <v>1157</v>
      </c>
      <c r="U134" s="55" t="s">
        <v>1145</v>
      </c>
      <c r="V134" s="55" t="s">
        <v>1153</v>
      </c>
      <c r="W134" s="55" t="s">
        <v>1181</v>
      </c>
      <c r="X134" s="55" t="s">
        <v>1159</v>
      </c>
      <c r="Y134" s="55" t="s">
        <v>1199</v>
      </c>
      <c r="Z134" s="55" t="s">
        <v>1229</v>
      </c>
    </row>
    <row r="135" spans="1:26">
      <c r="A135" s="55" t="s">
        <v>679</v>
      </c>
      <c r="B135" s="55" t="s">
        <v>272</v>
      </c>
      <c r="C135" s="55" t="s">
        <v>1142</v>
      </c>
      <c r="D135" s="55" t="s">
        <v>1143</v>
      </c>
      <c r="E135" s="55" t="s">
        <v>1143</v>
      </c>
      <c r="F135" s="55" t="s">
        <v>73</v>
      </c>
      <c r="G135" s="56">
        <v>1</v>
      </c>
      <c r="H135" s="56">
        <v>1</v>
      </c>
      <c r="I135" s="56">
        <v>0</v>
      </c>
      <c r="J135" s="56">
        <v>2</v>
      </c>
      <c r="K135" s="56">
        <v>0</v>
      </c>
      <c r="L135" s="56">
        <v>223500000</v>
      </c>
      <c r="M135" s="56">
        <v>1437895.32</v>
      </c>
      <c r="N135" s="56">
        <v>28757906.35</v>
      </c>
      <c r="O135" s="56">
        <v>49</v>
      </c>
      <c r="P135" s="56">
        <v>0</v>
      </c>
      <c r="Q135" s="56">
        <v>0</v>
      </c>
      <c r="R135" s="56">
        <v>0</v>
      </c>
      <c r="S135" s="56">
        <v>0</v>
      </c>
      <c r="T135" s="55" t="s">
        <v>1173</v>
      </c>
      <c r="U135" s="55" t="s">
        <v>1145</v>
      </c>
      <c r="V135" s="55" t="s">
        <v>1153</v>
      </c>
      <c r="W135" s="55" t="s">
        <v>1272</v>
      </c>
      <c r="X135" s="55" t="s">
        <v>1154</v>
      </c>
      <c r="Y135" s="55" t="s">
        <v>1199</v>
      </c>
      <c r="Z135" s="55" t="s">
        <v>1273</v>
      </c>
    </row>
    <row r="136" spans="1:26">
      <c r="A136" s="55" t="s">
        <v>680</v>
      </c>
      <c r="B136" s="55" t="s">
        <v>272</v>
      </c>
      <c r="C136" s="55" t="s">
        <v>1142</v>
      </c>
      <c r="D136" s="55" t="s">
        <v>1143</v>
      </c>
      <c r="E136" s="55" t="s">
        <v>1143</v>
      </c>
      <c r="F136" s="55" t="s">
        <v>73</v>
      </c>
      <c r="G136" s="56">
        <v>1</v>
      </c>
      <c r="H136" s="56">
        <v>1</v>
      </c>
      <c r="I136" s="56">
        <v>0</v>
      </c>
      <c r="J136" s="56">
        <v>17</v>
      </c>
      <c r="K136" s="56">
        <v>0</v>
      </c>
      <c r="L136" s="56">
        <v>52939149.92</v>
      </c>
      <c r="M136" s="56">
        <v>1303125.98</v>
      </c>
      <c r="N136" s="56">
        <v>3824743.96</v>
      </c>
      <c r="O136" s="56">
        <v>157</v>
      </c>
      <c r="P136" s="56">
        <v>0</v>
      </c>
      <c r="Q136" s="56">
        <v>0</v>
      </c>
      <c r="R136" s="56">
        <v>0</v>
      </c>
      <c r="S136" s="56">
        <v>0</v>
      </c>
      <c r="T136" s="55" t="s">
        <v>1157</v>
      </c>
      <c r="U136" s="55" t="s">
        <v>1145</v>
      </c>
      <c r="V136" s="55" t="s">
        <v>1153</v>
      </c>
      <c r="W136" s="55" t="s">
        <v>1180</v>
      </c>
      <c r="X136" s="55" t="s">
        <v>1154</v>
      </c>
      <c r="Y136" s="55" t="s">
        <v>1199</v>
      </c>
      <c r="Z136" s="55" t="s">
        <v>1166</v>
      </c>
    </row>
    <row r="137" spans="1:26">
      <c r="A137" s="55" t="s">
        <v>681</v>
      </c>
      <c r="B137" s="55" t="s">
        <v>272</v>
      </c>
      <c r="C137" s="55" t="s">
        <v>1142</v>
      </c>
      <c r="D137" s="55" t="s">
        <v>1143</v>
      </c>
      <c r="E137" s="55" t="s">
        <v>1143</v>
      </c>
      <c r="F137" s="55" t="s">
        <v>73</v>
      </c>
      <c r="G137" s="56">
        <v>1</v>
      </c>
      <c r="H137" s="56">
        <v>1</v>
      </c>
      <c r="I137" s="56">
        <v>0</v>
      </c>
      <c r="J137" s="56">
        <v>109</v>
      </c>
      <c r="K137" s="56">
        <v>0</v>
      </c>
      <c r="L137" s="56">
        <v>146023288.43</v>
      </c>
      <c r="M137" s="56">
        <v>3214402.84</v>
      </c>
      <c r="N137" s="56">
        <v>64288056.7</v>
      </c>
      <c r="O137" s="56">
        <v>160</v>
      </c>
      <c r="P137" s="56">
        <v>0</v>
      </c>
      <c r="Q137" s="56">
        <v>0</v>
      </c>
      <c r="R137" s="56">
        <v>0</v>
      </c>
      <c r="S137" s="56">
        <v>0</v>
      </c>
      <c r="T137" s="55" t="s">
        <v>1167</v>
      </c>
      <c r="U137" s="55" t="s">
        <v>1165</v>
      </c>
      <c r="V137" s="55" t="s">
        <v>1153</v>
      </c>
      <c r="Z137" s="55" t="s">
        <v>1238</v>
      </c>
    </row>
    <row r="138" spans="1:26">
      <c r="A138" s="55" t="s">
        <v>682</v>
      </c>
      <c r="B138" s="55" t="s">
        <v>272</v>
      </c>
      <c r="C138" s="55" t="s">
        <v>1142</v>
      </c>
      <c r="D138" s="55" t="s">
        <v>1143</v>
      </c>
      <c r="E138" s="55" t="s">
        <v>1143</v>
      </c>
      <c r="F138" s="55" t="s">
        <v>73</v>
      </c>
      <c r="G138" s="56">
        <v>1</v>
      </c>
      <c r="H138" s="56">
        <v>1</v>
      </c>
      <c r="I138" s="56">
        <v>0</v>
      </c>
      <c r="J138" s="56">
        <v>8</v>
      </c>
      <c r="K138" s="56">
        <v>0</v>
      </c>
      <c r="L138" s="56">
        <v>178055000</v>
      </c>
      <c r="M138" s="56">
        <v>13006363.11</v>
      </c>
      <c r="N138" s="56">
        <v>1492136057</v>
      </c>
      <c r="O138" s="56">
        <v>64</v>
      </c>
      <c r="P138" s="56">
        <v>0</v>
      </c>
      <c r="Q138" s="56">
        <v>0</v>
      </c>
      <c r="R138" s="56">
        <v>0</v>
      </c>
      <c r="S138" s="56">
        <v>0</v>
      </c>
      <c r="T138" s="55" t="s">
        <v>1167</v>
      </c>
      <c r="U138" s="55" t="s">
        <v>1165</v>
      </c>
      <c r="V138" s="55" t="s">
        <v>1146</v>
      </c>
      <c r="W138" s="55" t="s">
        <v>1147</v>
      </c>
      <c r="X138" s="55" t="s">
        <v>1154</v>
      </c>
      <c r="Y138" s="55" t="s">
        <v>1274</v>
      </c>
      <c r="Z138" s="55" t="s">
        <v>1238</v>
      </c>
    </row>
    <row r="139" spans="1:26">
      <c r="A139" s="55" t="s">
        <v>683</v>
      </c>
      <c r="B139" s="55" t="s">
        <v>272</v>
      </c>
      <c r="C139" s="55" t="s">
        <v>1142</v>
      </c>
      <c r="D139" s="55" t="s">
        <v>1143</v>
      </c>
      <c r="E139" s="55" t="s">
        <v>1143</v>
      </c>
      <c r="F139" s="55" t="s">
        <v>73</v>
      </c>
      <c r="G139" s="56">
        <v>1</v>
      </c>
      <c r="H139" s="56">
        <v>1</v>
      </c>
      <c r="I139" s="56">
        <v>0</v>
      </c>
      <c r="J139" s="56">
        <v>11</v>
      </c>
      <c r="K139" s="56">
        <v>0</v>
      </c>
      <c r="L139" s="56">
        <v>79864000</v>
      </c>
      <c r="M139" s="56">
        <v>140998.48</v>
      </c>
      <c r="N139" s="56">
        <v>2819969.67</v>
      </c>
      <c r="O139" s="56">
        <v>80</v>
      </c>
      <c r="P139" s="56">
        <v>0</v>
      </c>
      <c r="Q139" s="56">
        <v>0</v>
      </c>
      <c r="R139" s="56">
        <v>0</v>
      </c>
      <c r="S139" s="56">
        <v>0</v>
      </c>
      <c r="T139" s="55" t="s">
        <v>1167</v>
      </c>
      <c r="U139" s="55" t="s">
        <v>1165</v>
      </c>
      <c r="V139" s="55" t="s">
        <v>1153</v>
      </c>
      <c r="W139" s="55" t="s">
        <v>1147</v>
      </c>
      <c r="X139" s="55" t="s">
        <v>1159</v>
      </c>
      <c r="Y139" s="55" t="s">
        <v>1199</v>
      </c>
      <c r="Z139" s="55" t="s">
        <v>1193</v>
      </c>
    </row>
    <row r="140" spans="1:26">
      <c r="A140" s="55" t="s">
        <v>684</v>
      </c>
      <c r="B140" s="55" t="s">
        <v>272</v>
      </c>
      <c r="C140" s="55" t="s">
        <v>1142</v>
      </c>
      <c r="D140" s="55" t="s">
        <v>1143</v>
      </c>
      <c r="E140" s="55" t="s">
        <v>1143</v>
      </c>
      <c r="F140" s="55" t="s">
        <v>73</v>
      </c>
      <c r="G140" s="56">
        <v>1</v>
      </c>
      <c r="H140" s="56">
        <v>1</v>
      </c>
      <c r="I140" s="56">
        <v>0</v>
      </c>
      <c r="J140" s="56">
        <v>8</v>
      </c>
      <c r="K140" s="56">
        <v>0</v>
      </c>
      <c r="L140" s="56">
        <v>749470000</v>
      </c>
      <c r="M140" s="56">
        <v>3514659.11</v>
      </c>
      <c r="N140" s="56">
        <v>70293182.22</v>
      </c>
      <c r="O140" s="56">
        <v>72</v>
      </c>
      <c r="P140" s="56">
        <v>0</v>
      </c>
      <c r="Q140" s="56">
        <v>0</v>
      </c>
      <c r="R140" s="56">
        <v>0</v>
      </c>
      <c r="S140" s="56">
        <v>0</v>
      </c>
      <c r="T140" s="55" t="s">
        <v>1157</v>
      </c>
      <c r="U140" s="55" t="s">
        <v>1165</v>
      </c>
      <c r="V140" s="55" t="s">
        <v>1153</v>
      </c>
      <c r="W140" s="55" t="s">
        <v>1147</v>
      </c>
      <c r="X140" s="55" t="s">
        <v>1275</v>
      </c>
      <c r="Y140" s="55" t="s">
        <v>1199</v>
      </c>
      <c r="Z140" s="55" t="s">
        <v>1190</v>
      </c>
    </row>
    <row r="141" spans="1:26">
      <c r="A141" s="55" t="s">
        <v>685</v>
      </c>
      <c r="B141" s="55" t="s">
        <v>272</v>
      </c>
      <c r="C141" s="55" t="s">
        <v>1142</v>
      </c>
      <c r="D141" s="55" t="s">
        <v>1143</v>
      </c>
      <c r="E141" s="55" t="s">
        <v>1143</v>
      </c>
      <c r="F141" s="55" t="s">
        <v>73</v>
      </c>
      <c r="G141" s="56">
        <v>1</v>
      </c>
      <c r="H141" s="56">
        <v>1</v>
      </c>
      <c r="I141" s="56">
        <v>0</v>
      </c>
      <c r="J141" s="56">
        <v>47</v>
      </c>
      <c r="K141" s="56">
        <v>0</v>
      </c>
      <c r="L141" s="56">
        <v>1591320001.49</v>
      </c>
      <c r="M141" s="56">
        <v>2211669.21</v>
      </c>
      <c r="N141" s="56">
        <v>44233384.17999999</v>
      </c>
      <c r="O141" s="56">
        <v>217</v>
      </c>
      <c r="P141" s="56">
        <v>0</v>
      </c>
      <c r="Q141" s="56">
        <v>0</v>
      </c>
      <c r="R141" s="56">
        <v>0</v>
      </c>
      <c r="S141" s="56">
        <v>0</v>
      </c>
      <c r="T141" s="55" t="s">
        <v>1173</v>
      </c>
      <c r="U141" s="55" t="s">
        <v>1145</v>
      </c>
      <c r="V141" s="55" t="s">
        <v>1146</v>
      </c>
      <c r="W141" s="55" t="s">
        <v>1168</v>
      </c>
      <c r="X141" s="55" t="s">
        <v>1154</v>
      </c>
      <c r="Y141" s="55" t="s">
        <v>1199</v>
      </c>
      <c r="Z141" s="55" t="s">
        <v>1185</v>
      </c>
    </row>
    <row r="142" spans="1:26">
      <c r="A142" s="55" t="s">
        <v>686</v>
      </c>
      <c r="B142" s="55" t="s">
        <v>546</v>
      </c>
      <c r="C142" s="55" t="s">
        <v>1151</v>
      </c>
      <c r="D142" s="55" t="s">
        <v>87</v>
      </c>
      <c r="E142" s="55" t="s">
        <v>87</v>
      </c>
      <c r="F142" s="55" t="s">
        <v>75</v>
      </c>
      <c r="G142" s="56">
        <v>5</v>
      </c>
      <c r="H142" s="56">
        <v>5</v>
      </c>
      <c r="I142" s="56">
        <v>914</v>
      </c>
      <c r="J142" s="56">
        <v>6</v>
      </c>
      <c r="K142" s="56">
        <v>2</v>
      </c>
      <c r="L142" s="56">
        <v>0</v>
      </c>
      <c r="M142" s="56">
        <v>3602875.5</v>
      </c>
      <c r="N142" s="56">
        <v>132770618.48</v>
      </c>
      <c r="O142" s="56">
        <v>80</v>
      </c>
      <c r="P142" s="56">
        <v>1</v>
      </c>
      <c r="Q142" s="56">
        <v>1</v>
      </c>
      <c r="R142" s="56">
        <v>1</v>
      </c>
      <c r="S142" s="56">
        <v>1</v>
      </c>
      <c r="T142" s="55" t="s">
        <v>1173</v>
      </c>
      <c r="U142" s="55" t="s">
        <v>1145</v>
      </c>
      <c r="V142" s="55" t="s">
        <v>1146</v>
      </c>
      <c r="W142" s="55" t="s">
        <v>1158</v>
      </c>
      <c r="X142" s="55" t="s">
        <v>1258</v>
      </c>
      <c r="Y142" s="55" t="s">
        <v>1216</v>
      </c>
      <c r="Z142" s="55" t="s">
        <v>1156</v>
      </c>
    </row>
    <row r="143" spans="1:26">
      <c r="A143" s="55" t="s">
        <v>687</v>
      </c>
      <c r="B143" s="55" t="s">
        <v>272</v>
      </c>
      <c r="C143" s="55" t="s">
        <v>1142</v>
      </c>
      <c r="D143" s="55" t="s">
        <v>1143</v>
      </c>
      <c r="E143" s="55" t="s">
        <v>1143</v>
      </c>
      <c r="F143" s="55" t="s">
        <v>73</v>
      </c>
      <c r="G143" s="56">
        <v>1</v>
      </c>
      <c r="H143" s="56">
        <v>1</v>
      </c>
      <c r="I143" s="56">
        <v>0</v>
      </c>
      <c r="J143" s="56">
        <v>5</v>
      </c>
      <c r="K143" s="56">
        <v>0</v>
      </c>
      <c r="L143" s="56">
        <v>244360000</v>
      </c>
      <c r="M143" s="56">
        <v>1864584.8</v>
      </c>
      <c r="N143" s="56">
        <v>37291695.91</v>
      </c>
      <c r="O143" s="56">
        <v>153</v>
      </c>
      <c r="P143" s="56">
        <v>0</v>
      </c>
      <c r="Q143" s="56">
        <v>0</v>
      </c>
      <c r="R143" s="56">
        <v>0</v>
      </c>
      <c r="S143" s="56">
        <v>0</v>
      </c>
      <c r="T143" s="55" t="s">
        <v>1167</v>
      </c>
      <c r="U143" s="55" t="s">
        <v>1145</v>
      </c>
      <c r="V143" s="55" t="s">
        <v>1153</v>
      </c>
      <c r="W143" s="55" t="s">
        <v>1147</v>
      </c>
      <c r="X143" s="55" t="s">
        <v>1154</v>
      </c>
      <c r="Y143" s="55" t="s">
        <v>1276</v>
      </c>
      <c r="Z143" s="55" t="s">
        <v>1239</v>
      </c>
    </row>
    <row r="144" spans="1:26">
      <c r="A144" s="55" t="s">
        <v>688</v>
      </c>
      <c r="B144" s="55" t="s">
        <v>272</v>
      </c>
      <c r="C144" s="55" t="s">
        <v>1142</v>
      </c>
      <c r="D144" s="55" t="s">
        <v>1143</v>
      </c>
      <c r="E144" s="55" t="s">
        <v>1143</v>
      </c>
      <c r="F144" s="55" t="s">
        <v>73</v>
      </c>
      <c r="G144" s="56">
        <v>1</v>
      </c>
      <c r="H144" s="56">
        <v>1</v>
      </c>
      <c r="I144" s="56">
        <v>0</v>
      </c>
      <c r="J144" s="56">
        <v>14</v>
      </c>
      <c r="K144" s="56">
        <v>0</v>
      </c>
      <c r="L144" s="56">
        <v>282131500</v>
      </c>
      <c r="M144" s="56">
        <v>33384556.57</v>
      </c>
      <c r="N144" s="56">
        <v>1524736256.78</v>
      </c>
      <c r="O144" s="56">
        <v>139</v>
      </c>
      <c r="P144" s="56">
        <v>0</v>
      </c>
      <c r="Q144" s="56">
        <v>0</v>
      </c>
      <c r="R144" s="56">
        <v>0</v>
      </c>
      <c r="S144" s="56">
        <v>0</v>
      </c>
      <c r="T144" s="55" t="s">
        <v>1152</v>
      </c>
      <c r="U144" s="55" t="s">
        <v>1145</v>
      </c>
      <c r="V144" s="55" t="s">
        <v>1153</v>
      </c>
      <c r="W144" s="55" t="s">
        <v>1180</v>
      </c>
      <c r="X144" s="55" t="s">
        <v>1159</v>
      </c>
      <c r="Y144" s="55" t="s">
        <v>1199</v>
      </c>
      <c r="Z144" s="55" t="s">
        <v>1260</v>
      </c>
    </row>
    <row r="145" spans="1:26">
      <c r="A145" s="55" t="s">
        <v>689</v>
      </c>
      <c r="B145" s="55" t="s">
        <v>272</v>
      </c>
      <c r="C145" s="55" t="s">
        <v>1142</v>
      </c>
      <c r="D145" s="55" t="s">
        <v>1143</v>
      </c>
      <c r="E145" s="55" t="s">
        <v>1143</v>
      </c>
      <c r="F145" s="55" t="s">
        <v>73</v>
      </c>
      <c r="G145" s="56">
        <v>1</v>
      </c>
      <c r="H145" s="56">
        <v>1</v>
      </c>
      <c r="I145" s="56">
        <v>0</v>
      </c>
      <c r="J145" s="56">
        <v>4</v>
      </c>
      <c r="K145" s="56">
        <v>0</v>
      </c>
      <c r="L145" s="56">
        <v>443275000</v>
      </c>
      <c r="M145" s="56">
        <v>960326.48</v>
      </c>
      <c r="N145" s="56">
        <v>19206529.52</v>
      </c>
      <c r="O145" s="56">
        <v>85</v>
      </c>
      <c r="P145" s="56">
        <v>0</v>
      </c>
      <c r="Q145" s="56">
        <v>0</v>
      </c>
      <c r="R145" s="56">
        <v>0</v>
      </c>
      <c r="S145" s="56">
        <v>0</v>
      </c>
      <c r="T145" s="55" t="s">
        <v>1167</v>
      </c>
      <c r="U145" s="55" t="s">
        <v>1145</v>
      </c>
      <c r="V145" s="55" t="s">
        <v>1153</v>
      </c>
      <c r="W145" s="55" t="s">
        <v>1168</v>
      </c>
      <c r="X145" s="55" t="s">
        <v>1258</v>
      </c>
      <c r="Y145" s="55" t="s">
        <v>1210</v>
      </c>
      <c r="Z145" s="55" t="s">
        <v>1194</v>
      </c>
    </row>
    <row r="146" spans="1:26">
      <c r="A146" s="55" t="s">
        <v>690</v>
      </c>
      <c r="B146" s="55" t="s">
        <v>272</v>
      </c>
      <c r="C146" s="55" t="s">
        <v>1142</v>
      </c>
      <c r="D146" s="55" t="s">
        <v>1143</v>
      </c>
      <c r="E146" s="55" t="s">
        <v>1143</v>
      </c>
      <c r="F146" s="55" t="s">
        <v>73</v>
      </c>
      <c r="G146" s="56">
        <v>1</v>
      </c>
      <c r="H146" s="56">
        <v>1</v>
      </c>
      <c r="I146" s="56">
        <v>0</v>
      </c>
      <c r="J146" s="56">
        <v>3</v>
      </c>
      <c r="K146" s="56">
        <v>0</v>
      </c>
      <c r="L146" s="56">
        <v>67050000</v>
      </c>
      <c r="M146" s="56">
        <v>0</v>
      </c>
      <c r="N146" s="56">
        <v>0</v>
      </c>
      <c r="O146" s="56">
        <v>118</v>
      </c>
      <c r="P146" s="56">
        <v>0</v>
      </c>
      <c r="Q146" s="56">
        <v>0</v>
      </c>
      <c r="R146" s="56">
        <v>0</v>
      </c>
      <c r="S146" s="56">
        <v>0</v>
      </c>
      <c r="T146" s="55" t="s">
        <v>1173</v>
      </c>
      <c r="U146" s="55" t="s">
        <v>1145</v>
      </c>
      <c r="V146" s="55" t="s">
        <v>1153</v>
      </c>
      <c r="W146" s="55" t="s">
        <v>1168</v>
      </c>
      <c r="X146" s="55" t="s">
        <v>1154</v>
      </c>
      <c r="Y146" s="55" t="s">
        <v>1199</v>
      </c>
      <c r="Z146" s="55" t="s">
        <v>1166</v>
      </c>
    </row>
    <row r="147" spans="1:26">
      <c r="A147" s="55" t="s">
        <v>691</v>
      </c>
      <c r="B147" s="55" t="s">
        <v>272</v>
      </c>
      <c r="C147" s="55" t="s">
        <v>1142</v>
      </c>
      <c r="D147" s="55" t="s">
        <v>1143</v>
      </c>
      <c r="E147" s="55" t="s">
        <v>1143</v>
      </c>
      <c r="F147" s="55" t="s">
        <v>73</v>
      </c>
      <c r="G147" s="56">
        <v>1</v>
      </c>
      <c r="H147" s="56">
        <v>1</v>
      </c>
      <c r="I147" s="56">
        <v>0</v>
      </c>
      <c r="J147" s="56">
        <v>3</v>
      </c>
      <c r="K147" s="56">
        <v>0</v>
      </c>
      <c r="L147" s="56">
        <v>131120000</v>
      </c>
      <c r="M147" s="56">
        <v>1104602.43</v>
      </c>
      <c r="N147" s="56">
        <v>22092048.66</v>
      </c>
      <c r="O147" s="56">
        <v>90</v>
      </c>
      <c r="P147" s="56">
        <v>0</v>
      </c>
      <c r="Q147" s="56">
        <v>0</v>
      </c>
      <c r="R147" s="56">
        <v>0</v>
      </c>
      <c r="S147" s="56">
        <v>0</v>
      </c>
      <c r="T147" s="55" t="s">
        <v>1157</v>
      </c>
      <c r="U147" s="55" t="s">
        <v>1145</v>
      </c>
      <c r="V147" s="55" t="s">
        <v>1146</v>
      </c>
      <c r="W147" s="55" t="s">
        <v>1147</v>
      </c>
      <c r="X147" s="55" t="s">
        <v>1154</v>
      </c>
      <c r="Y147" s="55" t="s">
        <v>1199</v>
      </c>
      <c r="Z147" s="55" t="s">
        <v>1172</v>
      </c>
    </row>
    <row r="148" spans="1:26">
      <c r="A148" s="55" t="s">
        <v>692</v>
      </c>
      <c r="B148" s="55" t="s">
        <v>272</v>
      </c>
      <c r="C148" s="55" t="s">
        <v>1142</v>
      </c>
      <c r="D148" s="55" t="s">
        <v>1143</v>
      </c>
      <c r="E148" s="55" t="s">
        <v>1143</v>
      </c>
      <c r="F148" s="55" t="s">
        <v>73</v>
      </c>
      <c r="G148" s="56">
        <v>1</v>
      </c>
      <c r="H148" s="56">
        <v>1</v>
      </c>
      <c r="I148" s="56">
        <v>0</v>
      </c>
      <c r="J148" s="56">
        <v>7</v>
      </c>
      <c r="K148" s="56">
        <v>0</v>
      </c>
      <c r="L148" s="56">
        <v>591530000</v>
      </c>
      <c r="M148" s="56">
        <v>1058205</v>
      </c>
      <c r="N148" s="56">
        <v>21164100</v>
      </c>
      <c r="O148" s="56">
        <v>198</v>
      </c>
      <c r="P148" s="56">
        <v>0</v>
      </c>
      <c r="Q148" s="56">
        <v>0</v>
      </c>
      <c r="R148" s="56">
        <v>0</v>
      </c>
      <c r="S148" s="56">
        <v>0</v>
      </c>
      <c r="T148" s="55" t="s">
        <v>1152</v>
      </c>
      <c r="U148" s="55" t="s">
        <v>1165</v>
      </c>
      <c r="V148" s="55" t="s">
        <v>1153</v>
      </c>
      <c r="Z148" s="55" t="s">
        <v>1196</v>
      </c>
    </row>
    <row r="149" spans="1:26">
      <c r="A149" s="55" t="s">
        <v>693</v>
      </c>
      <c r="B149" s="55" t="s">
        <v>272</v>
      </c>
      <c r="C149" s="55" t="s">
        <v>1142</v>
      </c>
      <c r="D149" s="55" t="s">
        <v>1143</v>
      </c>
      <c r="E149" s="55" t="s">
        <v>1143</v>
      </c>
      <c r="F149" s="55" t="s">
        <v>73</v>
      </c>
      <c r="G149" s="56">
        <v>1</v>
      </c>
      <c r="H149" s="56">
        <v>1</v>
      </c>
      <c r="I149" s="56">
        <v>0</v>
      </c>
      <c r="J149" s="56">
        <v>3</v>
      </c>
      <c r="K149" s="56">
        <v>0</v>
      </c>
      <c r="L149" s="56">
        <v>44700000</v>
      </c>
      <c r="M149" s="56">
        <v>15703388.21</v>
      </c>
      <c r="N149" s="56">
        <v>1606999793.85</v>
      </c>
      <c r="O149" s="56">
        <v>21</v>
      </c>
      <c r="P149" s="56">
        <v>0</v>
      </c>
      <c r="Q149" s="56">
        <v>0</v>
      </c>
      <c r="R149" s="56">
        <v>0</v>
      </c>
      <c r="S149" s="56">
        <v>0</v>
      </c>
      <c r="T149" s="55" t="s">
        <v>1173</v>
      </c>
      <c r="U149" s="55" t="s">
        <v>1165</v>
      </c>
      <c r="V149" s="55" t="s">
        <v>1146</v>
      </c>
      <c r="W149" s="55" t="s">
        <v>1147</v>
      </c>
      <c r="X149" s="55" t="s">
        <v>1218</v>
      </c>
      <c r="Y149" s="55" t="s">
        <v>1199</v>
      </c>
      <c r="Z149" s="55" t="s">
        <v>1211</v>
      </c>
    </row>
    <row r="150" spans="1:26">
      <c r="A150" s="55" t="s">
        <v>694</v>
      </c>
      <c r="B150" s="55" t="s">
        <v>272</v>
      </c>
      <c r="C150" s="55" t="s">
        <v>1236</v>
      </c>
      <c r="D150" s="55" t="s">
        <v>1188</v>
      </c>
      <c r="E150" s="55" t="s">
        <v>85</v>
      </c>
      <c r="F150" s="55" t="s">
        <v>74</v>
      </c>
      <c r="G150" s="56">
        <v>2</v>
      </c>
      <c r="H150" s="56">
        <v>3</v>
      </c>
      <c r="I150" s="56">
        <v>0</v>
      </c>
      <c r="J150" s="56">
        <v>162</v>
      </c>
      <c r="K150" s="56">
        <v>1</v>
      </c>
      <c r="L150" s="56">
        <v>142789526.44</v>
      </c>
      <c r="M150" s="56">
        <v>46307535.02</v>
      </c>
      <c r="N150" s="56">
        <v>559602655.5500001</v>
      </c>
      <c r="O150" s="56">
        <v>148</v>
      </c>
      <c r="P150" s="56">
        <v>0</v>
      </c>
      <c r="Q150" s="56">
        <v>0</v>
      </c>
      <c r="R150" s="56">
        <v>1</v>
      </c>
      <c r="S150" s="56">
        <v>0</v>
      </c>
      <c r="T150" s="55" t="s">
        <v>1173</v>
      </c>
      <c r="U150" s="55" t="s">
        <v>1145</v>
      </c>
      <c r="V150" s="55" t="s">
        <v>1146</v>
      </c>
      <c r="W150" s="55" t="s">
        <v>1147</v>
      </c>
      <c r="X150" s="55" t="s">
        <v>1154</v>
      </c>
      <c r="Y150" s="55" t="s">
        <v>1199</v>
      </c>
      <c r="Z150" s="55" t="s">
        <v>1166</v>
      </c>
    </row>
    <row r="151" spans="1:26">
      <c r="A151" s="55" t="s">
        <v>695</v>
      </c>
      <c r="B151" s="55" t="s">
        <v>272</v>
      </c>
      <c r="C151" s="55" t="s">
        <v>1142</v>
      </c>
      <c r="D151" s="55" t="s">
        <v>1143</v>
      </c>
      <c r="E151" s="55" t="s">
        <v>1143</v>
      </c>
      <c r="F151" s="55" t="s">
        <v>73</v>
      </c>
      <c r="G151" s="56">
        <v>1</v>
      </c>
      <c r="H151" s="56">
        <v>1</v>
      </c>
      <c r="I151" s="56">
        <v>0</v>
      </c>
      <c r="J151" s="56">
        <v>5</v>
      </c>
      <c r="K151" s="56">
        <v>0</v>
      </c>
      <c r="L151" s="56">
        <v>9185435</v>
      </c>
      <c r="M151" s="56">
        <v>1652651.96</v>
      </c>
      <c r="N151" s="56">
        <v>1735435</v>
      </c>
      <c r="O151" s="56">
        <v>14</v>
      </c>
      <c r="P151" s="56">
        <v>0</v>
      </c>
      <c r="Q151" s="56">
        <v>0</v>
      </c>
      <c r="R151" s="56">
        <v>0</v>
      </c>
      <c r="S151" s="56">
        <v>0</v>
      </c>
      <c r="T151" s="55" t="s">
        <v>1157</v>
      </c>
      <c r="U151" s="55" t="s">
        <v>1145</v>
      </c>
      <c r="V151" s="55" t="s">
        <v>1153</v>
      </c>
      <c r="W151" s="55" t="s">
        <v>1180</v>
      </c>
      <c r="X151" s="55" t="s">
        <v>1154</v>
      </c>
      <c r="Y151" s="55" t="s">
        <v>1199</v>
      </c>
      <c r="Z151" s="55" t="s">
        <v>1211</v>
      </c>
    </row>
    <row r="152" spans="1:26">
      <c r="A152" s="55" t="s">
        <v>696</v>
      </c>
      <c r="B152" s="55" t="s">
        <v>272</v>
      </c>
      <c r="C152" s="55" t="s">
        <v>1142</v>
      </c>
      <c r="D152" s="55" t="s">
        <v>1143</v>
      </c>
      <c r="E152" s="55" t="s">
        <v>1143</v>
      </c>
      <c r="F152" s="55" t="s">
        <v>73</v>
      </c>
      <c r="G152" s="56">
        <v>1</v>
      </c>
      <c r="H152" s="56">
        <v>1</v>
      </c>
      <c r="I152" s="56">
        <v>0</v>
      </c>
      <c r="J152" s="56">
        <v>3</v>
      </c>
      <c r="K152" s="56">
        <v>0</v>
      </c>
      <c r="L152" s="56">
        <v>25330000</v>
      </c>
      <c r="M152" s="56">
        <v>65046.9</v>
      </c>
      <c r="N152" s="56">
        <v>1300938.08</v>
      </c>
      <c r="O152" s="56">
        <v>67</v>
      </c>
      <c r="P152" s="56">
        <v>0</v>
      </c>
      <c r="Q152" s="56">
        <v>0</v>
      </c>
      <c r="R152" s="56">
        <v>0</v>
      </c>
      <c r="S152" s="56">
        <v>0</v>
      </c>
      <c r="T152" s="55" t="s">
        <v>1227</v>
      </c>
      <c r="U152" s="55" t="s">
        <v>1145</v>
      </c>
      <c r="V152" s="55" t="s">
        <v>1146</v>
      </c>
      <c r="W152" s="55" t="s">
        <v>1168</v>
      </c>
      <c r="X152" s="55" t="s">
        <v>1228</v>
      </c>
      <c r="Y152" s="55" t="s">
        <v>1199</v>
      </c>
      <c r="Z152" s="55" t="s">
        <v>1196</v>
      </c>
    </row>
    <row r="153" spans="1:26">
      <c r="A153" s="55" t="s">
        <v>697</v>
      </c>
      <c r="B153" s="55" t="s">
        <v>272</v>
      </c>
      <c r="C153" s="55" t="s">
        <v>1142</v>
      </c>
      <c r="D153" s="55" t="s">
        <v>1143</v>
      </c>
      <c r="E153" s="55" t="s">
        <v>1143</v>
      </c>
      <c r="F153" s="55" t="s">
        <v>73</v>
      </c>
      <c r="G153" s="56">
        <v>1</v>
      </c>
      <c r="H153" s="56">
        <v>1</v>
      </c>
      <c r="I153" s="56">
        <v>0</v>
      </c>
      <c r="J153" s="56">
        <v>1</v>
      </c>
      <c r="K153" s="56">
        <v>0</v>
      </c>
      <c r="L153" s="56">
        <v>120690000</v>
      </c>
      <c r="M153" s="56">
        <v>375</v>
      </c>
      <c r="N153" s="56">
        <v>7500</v>
      </c>
      <c r="O153" s="56">
        <v>7</v>
      </c>
      <c r="P153" s="56">
        <v>0</v>
      </c>
      <c r="Q153" s="56">
        <v>0</v>
      </c>
      <c r="R153" s="56">
        <v>0</v>
      </c>
      <c r="S153" s="56">
        <v>0</v>
      </c>
      <c r="T153" s="55" t="s">
        <v>1162</v>
      </c>
      <c r="U153" s="55" t="s">
        <v>1145</v>
      </c>
      <c r="V153" s="55" t="s">
        <v>1153</v>
      </c>
      <c r="W153" s="55" t="s">
        <v>1147</v>
      </c>
      <c r="X153" s="55" t="s">
        <v>1154</v>
      </c>
      <c r="Y153" s="55" t="s">
        <v>1199</v>
      </c>
      <c r="Z153" s="55" t="s">
        <v>1185</v>
      </c>
    </row>
    <row r="154" spans="1:26">
      <c r="A154" s="55" t="s">
        <v>698</v>
      </c>
      <c r="B154" s="55" t="s">
        <v>272</v>
      </c>
      <c r="C154" s="55" t="s">
        <v>1142</v>
      </c>
      <c r="D154" s="55" t="s">
        <v>1143</v>
      </c>
      <c r="E154" s="55" t="s">
        <v>1143</v>
      </c>
      <c r="F154" s="55" t="s">
        <v>73</v>
      </c>
      <c r="G154" s="56">
        <v>1</v>
      </c>
      <c r="H154" s="56">
        <v>1</v>
      </c>
      <c r="I154" s="56">
        <v>0</v>
      </c>
      <c r="J154" s="56">
        <v>5</v>
      </c>
      <c r="K154" s="56">
        <v>0</v>
      </c>
      <c r="L154" s="56">
        <v>56620000</v>
      </c>
      <c r="M154" s="56">
        <v>496920.84</v>
      </c>
      <c r="N154" s="56">
        <v>9938416.800000001</v>
      </c>
      <c r="O154" s="56">
        <v>146</v>
      </c>
      <c r="P154" s="56">
        <v>0</v>
      </c>
      <c r="Q154" s="56">
        <v>0</v>
      </c>
      <c r="R154" s="56">
        <v>0</v>
      </c>
      <c r="S154" s="56">
        <v>0</v>
      </c>
      <c r="T154" s="55" t="s">
        <v>1167</v>
      </c>
      <c r="U154" s="55" t="s">
        <v>1165</v>
      </c>
      <c r="V154" s="55" t="s">
        <v>1146</v>
      </c>
      <c r="W154" s="55" t="s">
        <v>1158</v>
      </c>
      <c r="X154" s="55" t="s">
        <v>1159</v>
      </c>
      <c r="Y154" s="55" t="s">
        <v>1210</v>
      </c>
      <c r="Z154" s="55" t="s">
        <v>1211</v>
      </c>
    </row>
    <row r="155" spans="1:26">
      <c r="A155" s="55" t="s">
        <v>699</v>
      </c>
      <c r="B155" s="55" t="s">
        <v>272</v>
      </c>
      <c r="C155" s="55" t="s">
        <v>1142</v>
      </c>
      <c r="D155" s="55" t="s">
        <v>1143</v>
      </c>
      <c r="E155" s="55" t="s">
        <v>1143</v>
      </c>
      <c r="F155" s="55" t="s">
        <v>73</v>
      </c>
      <c r="G155" s="56">
        <v>1</v>
      </c>
      <c r="H155" s="56">
        <v>1</v>
      </c>
      <c r="I155" s="56">
        <v>0</v>
      </c>
      <c r="J155" s="56">
        <v>44</v>
      </c>
      <c r="K155" s="56">
        <v>0</v>
      </c>
      <c r="L155" s="56">
        <v>0</v>
      </c>
      <c r="M155" s="56">
        <v>467638.84</v>
      </c>
      <c r="N155" s="56">
        <v>0</v>
      </c>
      <c r="O155" s="56">
        <v>51</v>
      </c>
      <c r="P155" s="56">
        <v>1</v>
      </c>
      <c r="Q155" s="56">
        <v>0</v>
      </c>
      <c r="R155" s="56">
        <v>0</v>
      </c>
      <c r="S155" s="56">
        <v>0</v>
      </c>
      <c r="T155" s="55" t="s">
        <v>1152</v>
      </c>
      <c r="U155" s="55" t="s">
        <v>1165</v>
      </c>
      <c r="V155" s="55" t="s">
        <v>1146</v>
      </c>
      <c r="W155" s="55" t="s">
        <v>1147</v>
      </c>
      <c r="X155" s="55" t="s">
        <v>1154</v>
      </c>
      <c r="Y155" s="55" t="s">
        <v>1199</v>
      </c>
      <c r="Z155" s="55" t="s">
        <v>1194</v>
      </c>
    </row>
    <row r="156" spans="1:26">
      <c r="A156" s="55" t="s">
        <v>700</v>
      </c>
      <c r="B156" s="55" t="s">
        <v>272</v>
      </c>
      <c r="C156" s="55" t="s">
        <v>1187</v>
      </c>
      <c r="D156" s="55" t="s">
        <v>1143</v>
      </c>
      <c r="E156" s="55" t="s">
        <v>1188</v>
      </c>
      <c r="F156" s="55" t="s">
        <v>73</v>
      </c>
      <c r="G156" s="56">
        <v>1</v>
      </c>
      <c r="H156" s="56">
        <v>2</v>
      </c>
      <c r="I156" s="56">
        <v>0</v>
      </c>
      <c r="J156" s="56">
        <v>3</v>
      </c>
      <c r="K156" s="56">
        <v>0</v>
      </c>
      <c r="L156" s="56">
        <v>34270000</v>
      </c>
      <c r="M156" s="56">
        <v>764102.27</v>
      </c>
      <c r="N156" s="56">
        <v>15282045.34</v>
      </c>
      <c r="O156" s="56">
        <v>105</v>
      </c>
      <c r="P156" s="56">
        <v>0</v>
      </c>
      <c r="Q156" s="56">
        <v>0</v>
      </c>
      <c r="R156" s="56">
        <v>0</v>
      </c>
      <c r="S156" s="56">
        <v>0</v>
      </c>
      <c r="T156" s="55" t="s">
        <v>1152</v>
      </c>
      <c r="U156" s="55" t="s">
        <v>1165</v>
      </c>
      <c r="V156" s="55" t="s">
        <v>1153</v>
      </c>
      <c r="W156" s="55" t="s">
        <v>1180</v>
      </c>
      <c r="X156" s="55" t="s">
        <v>1221</v>
      </c>
      <c r="Y156" s="55" t="s">
        <v>1199</v>
      </c>
      <c r="Z156" s="55" t="s">
        <v>1166</v>
      </c>
    </row>
    <row r="157" spans="1:26">
      <c r="A157" s="55" t="s">
        <v>701</v>
      </c>
      <c r="B157" s="55" t="s">
        <v>272</v>
      </c>
      <c r="C157" s="55" t="s">
        <v>1187</v>
      </c>
      <c r="D157" s="55" t="s">
        <v>1188</v>
      </c>
      <c r="E157" s="55" t="s">
        <v>1188</v>
      </c>
      <c r="F157" s="55" t="s">
        <v>74</v>
      </c>
      <c r="G157" s="56">
        <v>2</v>
      </c>
      <c r="H157" s="56">
        <v>2</v>
      </c>
      <c r="I157" s="56">
        <v>8</v>
      </c>
      <c r="J157" s="56">
        <v>12</v>
      </c>
      <c r="K157" s="56">
        <v>1</v>
      </c>
      <c r="L157" s="56">
        <v>1863990000</v>
      </c>
      <c r="M157" s="56">
        <v>25897.22</v>
      </c>
      <c r="N157" s="56">
        <v>517944.34</v>
      </c>
      <c r="O157" s="56">
        <v>184</v>
      </c>
      <c r="P157" s="56">
        <v>0</v>
      </c>
      <c r="Q157" s="56">
        <v>0</v>
      </c>
      <c r="R157" s="56">
        <v>0</v>
      </c>
      <c r="S157" s="56">
        <v>1</v>
      </c>
      <c r="T157" s="55" t="s">
        <v>1255</v>
      </c>
      <c r="U157" s="55" t="s">
        <v>1165</v>
      </c>
      <c r="V157" s="55" t="s">
        <v>1146</v>
      </c>
      <c r="W157" s="55" t="s">
        <v>1158</v>
      </c>
      <c r="X157" s="55" t="s">
        <v>1159</v>
      </c>
      <c r="Y157" s="55" t="s">
        <v>1199</v>
      </c>
      <c r="Z157" s="55" t="s">
        <v>1277</v>
      </c>
    </row>
    <row r="158" spans="1:26">
      <c r="A158" s="55" t="s">
        <v>702</v>
      </c>
      <c r="B158" s="55" t="s">
        <v>272</v>
      </c>
      <c r="C158" s="55" t="s">
        <v>1142</v>
      </c>
      <c r="D158" s="55" t="s">
        <v>1143</v>
      </c>
      <c r="E158" s="55" t="s">
        <v>1143</v>
      </c>
      <c r="F158" s="55" t="s">
        <v>73</v>
      </c>
      <c r="G158" s="56">
        <v>1</v>
      </c>
      <c r="H158" s="56">
        <v>1</v>
      </c>
      <c r="I158" s="56">
        <v>0</v>
      </c>
      <c r="J158" s="56">
        <v>5</v>
      </c>
      <c r="K158" s="56">
        <v>0</v>
      </c>
      <c r="L158" s="56">
        <v>123670000</v>
      </c>
      <c r="M158" s="56">
        <v>1013134.66</v>
      </c>
      <c r="N158" s="56">
        <v>20262693.15</v>
      </c>
      <c r="O158" s="56">
        <v>400</v>
      </c>
      <c r="P158" s="56">
        <v>0</v>
      </c>
      <c r="Q158" s="56">
        <v>0</v>
      </c>
      <c r="R158" s="56">
        <v>0</v>
      </c>
      <c r="S158" s="56">
        <v>0</v>
      </c>
      <c r="T158" s="55" t="s">
        <v>1157</v>
      </c>
      <c r="U158" s="55" t="s">
        <v>1165</v>
      </c>
      <c r="V158" s="55" t="s">
        <v>1153</v>
      </c>
      <c r="W158" s="55" t="s">
        <v>1168</v>
      </c>
      <c r="X158" s="55" t="s">
        <v>1221</v>
      </c>
      <c r="Y158" s="55" t="s">
        <v>1199</v>
      </c>
      <c r="Z158" s="55" t="s">
        <v>1230</v>
      </c>
    </row>
    <row r="159" spans="1:26">
      <c r="A159" s="55" t="s">
        <v>703</v>
      </c>
      <c r="B159" s="55" t="s">
        <v>272</v>
      </c>
      <c r="C159" s="55" t="s">
        <v>1142</v>
      </c>
      <c r="D159" s="55" t="s">
        <v>1143</v>
      </c>
      <c r="E159" s="55" t="s">
        <v>1143</v>
      </c>
      <c r="F159" s="55" t="s">
        <v>73</v>
      </c>
      <c r="G159" s="56">
        <v>1</v>
      </c>
      <c r="H159" s="56">
        <v>1</v>
      </c>
      <c r="I159" s="56">
        <v>0</v>
      </c>
      <c r="J159" s="56">
        <v>45</v>
      </c>
      <c r="K159" s="56">
        <v>0</v>
      </c>
      <c r="L159" s="56">
        <v>3301425</v>
      </c>
      <c r="M159" s="56">
        <v>3614530.84</v>
      </c>
      <c r="N159" s="56">
        <v>20942048.71</v>
      </c>
      <c r="O159" s="56">
        <v>54</v>
      </c>
      <c r="P159" s="56">
        <v>0</v>
      </c>
      <c r="Q159" s="56">
        <v>0</v>
      </c>
      <c r="R159" s="56">
        <v>0</v>
      </c>
      <c r="S159" s="56">
        <v>0</v>
      </c>
      <c r="T159" s="55" t="s">
        <v>1157</v>
      </c>
      <c r="U159" s="55" t="s">
        <v>1165</v>
      </c>
      <c r="V159" s="55" t="s">
        <v>1153</v>
      </c>
      <c r="W159" s="55" t="s">
        <v>1168</v>
      </c>
      <c r="X159" s="55" t="s">
        <v>1154</v>
      </c>
      <c r="Y159" s="55" t="s">
        <v>1199</v>
      </c>
      <c r="Z159" s="55" t="s">
        <v>1196</v>
      </c>
    </row>
    <row r="160" spans="1:26">
      <c r="A160" s="55" t="s">
        <v>704</v>
      </c>
      <c r="B160" s="55" t="s">
        <v>272</v>
      </c>
      <c r="C160" s="55" t="s">
        <v>1142</v>
      </c>
      <c r="D160" s="55" t="s">
        <v>1143</v>
      </c>
      <c r="E160" s="55" t="s">
        <v>1143</v>
      </c>
      <c r="F160" s="55" t="s">
        <v>73</v>
      </c>
      <c r="G160" s="56">
        <v>1</v>
      </c>
      <c r="H160" s="56">
        <v>1</v>
      </c>
      <c r="I160" s="56">
        <v>0</v>
      </c>
      <c r="J160" s="56">
        <v>6</v>
      </c>
      <c r="K160" s="56">
        <v>0</v>
      </c>
      <c r="L160" s="56">
        <v>409005000</v>
      </c>
      <c r="M160" s="56">
        <v>7280427.44</v>
      </c>
      <c r="N160" s="56">
        <v>145608548.86</v>
      </c>
      <c r="O160" s="56">
        <v>156</v>
      </c>
      <c r="P160" s="56">
        <v>0</v>
      </c>
      <c r="Q160" s="56">
        <v>0</v>
      </c>
      <c r="R160" s="56">
        <v>0</v>
      </c>
      <c r="S160" s="56">
        <v>0</v>
      </c>
      <c r="T160" s="55" t="s">
        <v>1173</v>
      </c>
      <c r="U160" s="55" t="s">
        <v>1145</v>
      </c>
      <c r="V160" s="55" t="s">
        <v>1146</v>
      </c>
      <c r="W160" s="55" t="s">
        <v>1180</v>
      </c>
      <c r="X160" s="55" t="s">
        <v>1154</v>
      </c>
      <c r="Y160" s="55" t="s">
        <v>1206</v>
      </c>
      <c r="Z160" s="55" t="s">
        <v>1156</v>
      </c>
    </row>
    <row r="161" spans="1:26">
      <c r="A161" s="55" t="s">
        <v>705</v>
      </c>
      <c r="B161" s="55" t="s">
        <v>272</v>
      </c>
      <c r="C161" s="55" t="s">
        <v>1142</v>
      </c>
      <c r="D161" s="55" t="s">
        <v>1143</v>
      </c>
      <c r="E161" s="55" t="s">
        <v>1143</v>
      </c>
      <c r="F161" s="55" t="s">
        <v>73</v>
      </c>
      <c r="G161" s="56">
        <v>1</v>
      </c>
      <c r="H161" s="56">
        <v>1</v>
      </c>
      <c r="I161" s="56">
        <v>0</v>
      </c>
      <c r="J161" s="56">
        <v>3</v>
      </c>
      <c r="K161" s="56">
        <v>0</v>
      </c>
      <c r="L161" s="56">
        <v>44700000</v>
      </c>
      <c r="M161" s="56">
        <v>1483708.86</v>
      </c>
      <c r="N161" s="56">
        <v>29674177.28</v>
      </c>
      <c r="O161" s="56">
        <v>167</v>
      </c>
      <c r="P161" s="56">
        <v>0</v>
      </c>
      <c r="Q161" s="56">
        <v>0</v>
      </c>
      <c r="R161" s="56">
        <v>0</v>
      </c>
      <c r="S161" s="56">
        <v>0</v>
      </c>
      <c r="T161" s="55" t="s">
        <v>1167</v>
      </c>
      <c r="U161" s="55" t="s">
        <v>1145</v>
      </c>
      <c r="V161" s="55" t="s">
        <v>1146</v>
      </c>
      <c r="W161" s="55" t="s">
        <v>1147</v>
      </c>
      <c r="X161" s="55" t="s">
        <v>1159</v>
      </c>
      <c r="Y161" s="55" t="s">
        <v>1155</v>
      </c>
      <c r="Z161" s="55" t="s">
        <v>1261</v>
      </c>
    </row>
    <row r="162" spans="1:26">
      <c r="A162" s="55" t="s">
        <v>706</v>
      </c>
      <c r="B162" s="55" t="s">
        <v>272</v>
      </c>
      <c r="C162" s="55" t="s">
        <v>1187</v>
      </c>
      <c r="D162" s="55" t="s">
        <v>1188</v>
      </c>
      <c r="E162" s="55" t="s">
        <v>1188</v>
      </c>
      <c r="F162" s="55" t="s">
        <v>74</v>
      </c>
      <c r="G162" s="56">
        <v>2</v>
      </c>
      <c r="H162" s="56">
        <v>2</v>
      </c>
      <c r="I162" s="56">
        <v>7</v>
      </c>
      <c r="J162" s="56">
        <v>59</v>
      </c>
      <c r="K162" s="56">
        <v>0</v>
      </c>
      <c r="L162" s="56">
        <v>5298880.33</v>
      </c>
      <c r="M162" s="56">
        <v>2409994.88</v>
      </c>
      <c r="N162" s="56">
        <v>7678170.649999999</v>
      </c>
      <c r="O162" s="56">
        <v>42</v>
      </c>
      <c r="P162" s="56">
        <v>0</v>
      </c>
      <c r="Q162" s="56">
        <v>0</v>
      </c>
      <c r="R162" s="56">
        <v>0</v>
      </c>
      <c r="S162" s="56">
        <v>1</v>
      </c>
      <c r="T162" s="55" t="s">
        <v>1157</v>
      </c>
      <c r="U162" s="55" t="s">
        <v>1165</v>
      </c>
      <c r="V162" s="55" t="s">
        <v>1146</v>
      </c>
      <c r="W162" s="55" t="s">
        <v>1180</v>
      </c>
      <c r="X162" s="55" t="s">
        <v>1159</v>
      </c>
      <c r="Y162" s="55" t="s">
        <v>1253</v>
      </c>
      <c r="Z162" s="55" t="s">
        <v>1185</v>
      </c>
    </row>
    <row r="163" spans="1:26">
      <c r="A163" s="55" t="s">
        <v>707</v>
      </c>
      <c r="B163" s="55" t="s">
        <v>272</v>
      </c>
      <c r="C163" s="55" t="s">
        <v>1142</v>
      </c>
      <c r="D163" s="55" t="s">
        <v>1143</v>
      </c>
      <c r="E163" s="55" t="s">
        <v>1143</v>
      </c>
      <c r="F163" s="55" t="s">
        <v>73</v>
      </c>
      <c r="G163" s="56">
        <v>1</v>
      </c>
      <c r="H163" s="56">
        <v>1</v>
      </c>
      <c r="I163" s="56">
        <v>0</v>
      </c>
      <c r="J163" s="56">
        <v>8</v>
      </c>
      <c r="K163" s="56">
        <v>0</v>
      </c>
      <c r="L163" s="56">
        <v>661345440</v>
      </c>
      <c r="M163" s="56">
        <v>17486517.06</v>
      </c>
      <c r="N163" s="56">
        <v>349730341.14</v>
      </c>
      <c r="O163" s="56">
        <v>329</v>
      </c>
      <c r="P163" s="56">
        <v>0</v>
      </c>
      <c r="Q163" s="56">
        <v>0</v>
      </c>
      <c r="R163" s="56">
        <v>0</v>
      </c>
      <c r="S163" s="56">
        <v>0</v>
      </c>
      <c r="T163" s="55" t="s">
        <v>1255</v>
      </c>
      <c r="U163" s="55" t="s">
        <v>1165</v>
      </c>
      <c r="V163" s="55" t="s">
        <v>1146</v>
      </c>
      <c r="W163" s="55" t="s">
        <v>1147</v>
      </c>
      <c r="X163" s="55" t="s">
        <v>1218</v>
      </c>
      <c r="Y163" s="55" t="s">
        <v>1155</v>
      </c>
      <c r="Z163" s="55" t="s">
        <v>1185</v>
      </c>
    </row>
    <row r="164" spans="1:26">
      <c r="A164" s="55" t="s">
        <v>708</v>
      </c>
      <c r="B164" s="55" t="s">
        <v>272</v>
      </c>
      <c r="C164" s="55" t="s">
        <v>1142</v>
      </c>
      <c r="D164" s="55" t="s">
        <v>1143</v>
      </c>
      <c r="E164" s="55" t="s">
        <v>1143</v>
      </c>
      <c r="F164" s="55" t="s">
        <v>73</v>
      </c>
      <c r="G164" s="56">
        <v>1</v>
      </c>
      <c r="H164" s="56">
        <v>1</v>
      </c>
      <c r="I164" s="56">
        <v>0</v>
      </c>
      <c r="J164" s="56">
        <v>2</v>
      </c>
      <c r="K164" s="56">
        <v>0</v>
      </c>
      <c r="L164" s="56">
        <v>774800000</v>
      </c>
      <c r="M164" s="56">
        <v>0</v>
      </c>
      <c r="N164" s="56">
        <v>0</v>
      </c>
      <c r="O164" s="56">
        <v>68</v>
      </c>
      <c r="P164" s="56">
        <v>0</v>
      </c>
      <c r="Q164" s="56">
        <v>0</v>
      </c>
      <c r="R164" s="56">
        <v>0</v>
      </c>
      <c r="S164" s="56">
        <v>0</v>
      </c>
      <c r="T164" s="55" t="s">
        <v>1278</v>
      </c>
      <c r="U164" s="55" t="s">
        <v>1165</v>
      </c>
      <c r="V164" s="55" t="s">
        <v>1146</v>
      </c>
      <c r="W164" s="55" t="s">
        <v>1147</v>
      </c>
      <c r="X164" s="55" t="s">
        <v>1279</v>
      </c>
      <c r="Y164" s="55" t="s">
        <v>1155</v>
      </c>
      <c r="Z164" s="55" t="s">
        <v>1220</v>
      </c>
    </row>
    <row r="165" spans="1:26">
      <c r="A165" s="55" t="s">
        <v>709</v>
      </c>
      <c r="B165" s="55" t="s">
        <v>272</v>
      </c>
      <c r="C165" s="55" t="s">
        <v>1142</v>
      </c>
      <c r="D165" s="55" t="s">
        <v>1143</v>
      </c>
      <c r="E165" s="55" t="s">
        <v>1143</v>
      </c>
      <c r="F165" s="55" t="s">
        <v>73</v>
      </c>
      <c r="G165" s="56">
        <v>1</v>
      </c>
      <c r="H165" s="56">
        <v>1</v>
      </c>
      <c r="I165" s="56">
        <v>0</v>
      </c>
      <c r="J165" s="56">
        <v>7</v>
      </c>
      <c r="K165" s="56">
        <v>0</v>
      </c>
      <c r="L165" s="56">
        <v>87910000</v>
      </c>
      <c r="M165" s="56">
        <v>2545541.14</v>
      </c>
      <c r="N165" s="56">
        <v>50910822.72</v>
      </c>
      <c r="O165" s="56">
        <v>91</v>
      </c>
      <c r="P165" s="56">
        <v>0</v>
      </c>
      <c r="Q165" s="56">
        <v>0</v>
      </c>
      <c r="R165" s="56">
        <v>0</v>
      </c>
      <c r="S165" s="56">
        <v>0</v>
      </c>
      <c r="T165" s="55" t="s">
        <v>1144</v>
      </c>
      <c r="U165" s="55" t="s">
        <v>1145</v>
      </c>
      <c r="V165" s="55" t="s">
        <v>1146</v>
      </c>
      <c r="W165" s="55" t="s">
        <v>1168</v>
      </c>
      <c r="X165" s="55" t="s">
        <v>1154</v>
      </c>
      <c r="Y165" s="55" t="s">
        <v>1210</v>
      </c>
      <c r="Z165" s="55" t="s">
        <v>1150</v>
      </c>
    </row>
    <row r="166" spans="1:26">
      <c r="A166" s="55" t="s">
        <v>710</v>
      </c>
      <c r="B166" s="55" t="s">
        <v>272</v>
      </c>
      <c r="C166" s="55" t="s">
        <v>1142</v>
      </c>
      <c r="D166" s="55" t="s">
        <v>1143</v>
      </c>
      <c r="E166" s="55" t="s">
        <v>1143</v>
      </c>
      <c r="F166" s="55" t="s">
        <v>73</v>
      </c>
      <c r="G166" s="56">
        <v>1</v>
      </c>
      <c r="H166" s="56">
        <v>1</v>
      </c>
      <c r="I166" s="56">
        <v>0</v>
      </c>
      <c r="J166" s="56">
        <v>4</v>
      </c>
      <c r="K166" s="56">
        <v>0</v>
      </c>
      <c r="L166" s="56">
        <v>745000000</v>
      </c>
      <c r="M166" s="56">
        <v>0</v>
      </c>
      <c r="N166" s="56">
        <v>0</v>
      </c>
      <c r="O166" s="56">
        <v>203</v>
      </c>
      <c r="P166" s="56">
        <v>0</v>
      </c>
      <c r="Q166" s="56">
        <v>0</v>
      </c>
      <c r="R166" s="56">
        <v>0</v>
      </c>
      <c r="S166" s="56">
        <v>0</v>
      </c>
      <c r="T166" s="55" t="s">
        <v>1167</v>
      </c>
      <c r="U166" s="55" t="s">
        <v>1145</v>
      </c>
      <c r="V166" s="55" t="s">
        <v>1153</v>
      </c>
      <c r="W166" s="55" t="s">
        <v>1180</v>
      </c>
      <c r="X166" s="55" t="s">
        <v>1154</v>
      </c>
      <c r="Y166" s="55" t="s">
        <v>1155</v>
      </c>
      <c r="Z166" s="55" t="s">
        <v>1166</v>
      </c>
    </row>
    <row r="167" spans="1:26">
      <c r="A167" s="55" t="s">
        <v>711</v>
      </c>
      <c r="B167" s="55" t="s">
        <v>272</v>
      </c>
      <c r="C167" s="55" t="s">
        <v>1187</v>
      </c>
      <c r="D167" s="55" t="s">
        <v>1188</v>
      </c>
      <c r="E167" s="55" t="s">
        <v>1188</v>
      </c>
      <c r="F167" s="55" t="s">
        <v>74</v>
      </c>
      <c r="G167" s="56">
        <v>2</v>
      </c>
      <c r="H167" s="56">
        <v>2</v>
      </c>
      <c r="I167" s="56">
        <v>4</v>
      </c>
      <c r="J167" s="56">
        <v>15</v>
      </c>
      <c r="K167" s="56">
        <v>0</v>
      </c>
      <c r="L167" s="56">
        <v>296510000</v>
      </c>
      <c r="M167" s="56">
        <v>5717142.44</v>
      </c>
      <c r="N167" s="56">
        <v>114342848.88</v>
      </c>
      <c r="O167" s="56">
        <v>206</v>
      </c>
      <c r="P167" s="56">
        <v>0</v>
      </c>
      <c r="Q167" s="56">
        <v>0</v>
      </c>
      <c r="R167" s="56">
        <v>0</v>
      </c>
      <c r="S167" s="56">
        <v>1</v>
      </c>
      <c r="T167" s="55" t="s">
        <v>1167</v>
      </c>
      <c r="U167" s="55" t="s">
        <v>1145</v>
      </c>
      <c r="V167" s="55" t="s">
        <v>1153</v>
      </c>
      <c r="W167" s="55" t="s">
        <v>1147</v>
      </c>
      <c r="X167" s="55" t="s">
        <v>1154</v>
      </c>
      <c r="Y167" s="55" t="s">
        <v>1155</v>
      </c>
      <c r="Z167" s="55" t="s">
        <v>1166</v>
      </c>
    </row>
    <row r="168" spans="1:26">
      <c r="A168" s="55" t="s">
        <v>712</v>
      </c>
      <c r="B168" s="55" t="s">
        <v>546</v>
      </c>
      <c r="C168" s="55" t="s">
        <v>1151</v>
      </c>
      <c r="D168" s="55" t="s">
        <v>87</v>
      </c>
      <c r="E168" s="55" t="s">
        <v>87</v>
      </c>
      <c r="F168" s="55" t="s">
        <v>75</v>
      </c>
      <c r="G168" s="56">
        <v>5</v>
      </c>
      <c r="H168" s="56">
        <v>5</v>
      </c>
      <c r="I168" s="56">
        <v>2703</v>
      </c>
      <c r="J168" s="56">
        <v>12</v>
      </c>
      <c r="K168" s="56">
        <v>0</v>
      </c>
      <c r="L168" s="56">
        <v>38642185</v>
      </c>
      <c r="M168" s="56">
        <v>43373771.26</v>
      </c>
      <c r="N168" s="56">
        <v>72912922.95999999</v>
      </c>
      <c r="O168" s="56">
        <v>94</v>
      </c>
      <c r="P168" s="56">
        <v>0</v>
      </c>
      <c r="Q168" s="56">
        <v>0</v>
      </c>
      <c r="R168" s="56">
        <v>1</v>
      </c>
      <c r="S168" s="56">
        <v>1</v>
      </c>
      <c r="T168" s="55" t="s">
        <v>1152</v>
      </c>
      <c r="U168" s="55" t="s">
        <v>1145</v>
      </c>
      <c r="V168" s="55" t="s">
        <v>1146</v>
      </c>
      <c r="W168" s="55" t="s">
        <v>1180</v>
      </c>
      <c r="X168" s="55" t="s">
        <v>1154</v>
      </c>
      <c r="Y168" s="55" t="s">
        <v>1155</v>
      </c>
      <c r="Z168" s="55" t="s">
        <v>1265</v>
      </c>
    </row>
    <row r="169" spans="1:26">
      <c r="A169" s="55" t="s">
        <v>713</v>
      </c>
      <c r="B169" s="55" t="s">
        <v>563</v>
      </c>
      <c r="C169" s="55" t="s">
        <v>1191</v>
      </c>
      <c r="D169" s="55" t="s">
        <v>1143</v>
      </c>
      <c r="E169" s="55" t="s">
        <v>1143</v>
      </c>
      <c r="F169" s="55" t="s">
        <v>73</v>
      </c>
      <c r="G169" s="56">
        <v>1</v>
      </c>
      <c r="H169" s="56">
        <v>1</v>
      </c>
      <c r="I169" s="56">
        <v>0</v>
      </c>
      <c r="J169" s="56">
        <v>16</v>
      </c>
      <c r="K169" s="56">
        <v>0</v>
      </c>
      <c r="L169" s="56">
        <v>379950000</v>
      </c>
      <c r="M169" s="56">
        <v>52416142.86</v>
      </c>
      <c r="N169" s="56">
        <v>172598492.72</v>
      </c>
      <c r="O169" s="56">
        <v>276</v>
      </c>
      <c r="P169" s="56">
        <v>0</v>
      </c>
      <c r="Q169" s="56">
        <v>0</v>
      </c>
      <c r="R169" s="56">
        <v>0</v>
      </c>
      <c r="S169" s="56">
        <v>0</v>
      </c>
      <c r="T169" s="55" t="s">
        <v>1157</v>
      </c>
      <c r="U169" s="55" t="s">
        <v>1145</v>
      </c>
      <c r="V169" s="55" t="s">
        <v>1153</v>
      </c>
      <c r="W169" s="55" t="s">
        <v>1147</v>
      </c>
      <c r="X169" s="55" t="s">
        <v>1154</v>
      </c>
      <c r="Y169" s="55" t="s">
        <v>1155</v>
      </c>
      <c r="Z169" s="55" t="s">
        <v>1229</v>
      </c>
    </row>
    <row r="170" spans="1:26">
      <c r="A170" s="55" t="s">
        <v>714</v>
      </c>
      <c r="B170" s="55" t="s">
        <v>546</v>
      </c>
      <c r="C170" s="55" t="s">
        <v>1151</v>
      </c>
      <c r="D170" s="55" t="s">
        <v>87</v>
      </c>
      <c r="E170" s="55" t="s">
        <v>87</v>
      </c>
      <c r="F170" s="55" t="s">
        <v>75</v>
      </c>
      <c r="G170" s="56">
        <v>5</v>
      </c>
      <c r="H170" s="56">
        <v>5</v>
      </c>
      <c r="I170" s="56">
        <v>1846</v>
      </c>
      <c r="J170" s="56">
        <v>12</v>
      </c>
      <c r="K170" s="56">
        <v>0</v>
      </c>
      <c r="L170" s="56">
        <v>42866.7</v>
      </c>
      <c r="M170" s="56">
        <v>21760.7</v>
      </c>
      <c r="N170" s="56">
        <v>2218124.82</v>
      </c>
      <c r="O170" s="56">
        <v>65</v>
      </c>
      <c r="P170" s="56">
        <v>0</v>
      </c>
      <c r="Q170" s="56">
        <v>0</v>
      </c>
      <c r="R170" s="56">
        <v>1</v>
      </c>
      <c r="S170" s="56">
        <v>1</v>
      </c>
      <c r="T170" s="55" t="s">
        <v>1144</v>
      </c>
      <c r="U170" s="55" t="s">
        <v>1165</v>
      </c>
      <c r="V170" s="55" t="s">
        <v>1146</v>
      </c>
      <c r="W170" s="55" t="s">
        <v>1147</v>
      </c>
      <c r="X170" s="55" t="s">
        <v>1218</v>
      </c>
      <c r="Y170" s="55" t="s">
        <v>1155</v>
      </c>
      <c r="Z170" s="55" t="s">
        <v>1209</v>
      </c>
    </row>
    <row r="171" spans="1:26">
      <c r="A171" s="55" t="s">
        <v>715</v>
      </c>
      <c r="B171" s="55" t="s">
        <v>272</v>
      </c>
      <c r="C171" s="55" t="s">
        <v>1142</v>
      </c>
      <c r="D171" s="55" t="s">
        <v>1143</v>
      </c>
      <c r="E171" s="55" t="s">
        <v>1143</v>
      </c>
      <c r="F171" s="55" t="s">
        <v>73</v>
      </c>
      <c r="G171" s="56">
        <v>1</v>
      </c>
      <c r="H171" s="56">
        <v>1</v>
      </c>
      <c r="I171" s="56">
        <v>0</v>
      </c>
      <c r="J171" s="56">
        <v>5</v>
      </c>
      <c r="K171" s="56">
        <v>0</v>
      </c>
      <c r="L171" s="56">
        <v>722650000</v>
      </c>
      <c r="M171" s="56">
        <v>1416933.91</v>
      </c>
      <c r="N171" s="56">
        <v>28338678.22</v>
      </c>
      <c r="O171" s="56">
        <v>184</v>
      </c>
      <c r="P171" s="56">
        <v>0</v>
      </c>
      <c r="Q171" s="56">
        <v>0</v>
      </c>
      <c r="R171" s="56">
        <v>0</v>
      </c>
      <c r="S171" s="56">
        <v>0</v>
      </c>
      <c r="T171" s="55" t="s">
        <v>1173</v>
      </c>
      <c r="U171" s="55" t="s">
        <v>1145</v>
      </c>
      <c r="V171" s="55" t="s">
        <v>1146</v>
      </c>
      <c r="W171" s="55" t="s">
        <v>1180</v>
      </c>
      <c r="X171" s="55" t="s">
        <v>1154</v>
      </c>
      <c r="Y171" s="55" t="s">
        <v>1155</v>
      </c>
      <c r="Z171" s="55" t="s">
        <v>1194</v>
      </c>
    </row>
    <row r="172" spans="1:26">
      <c r="A172" s="55" t="s">
        <v>716</v>
      </c>
      <c r="B172" s="55" t="s">
        <v>272</v>
      </c>
      <c r="C172" s="55" t="s">
        <v>1142</v>
      </c>
      <c r="D172" s="55" t="s">
        <v>1143</v>
      </c>
      <c r="E172" s="55" t="s">
        <v>1143</v>
      </c>
      <c r="F172" s="55" t="s">
        <v>73</v>
      </c>
      <c r="G172" s="56">
        <v>1</v>
      </c>
      <c r="H172" s="56">
        <v>1</v>
      </c>
      <c r="I172" s="56">
        <v>0</v>
      </c>
      <c r="J172" s="56">
        <v>13</v>
      </c>
      <c r="K172" s="56">
        <v>0</v>
      </c>
      <c r="L172" s="56">
        <v>262240000</v>
      </c>
      <c r="M172" s="56">
        <v>61648582.03</v>
      </c>
      <c r="N172" s="56">
        <v>1696014120.08</v>
      </c>
      <c r="O172" s="56">
        <v>212</v>
      </c>
      <c r="P172" s="56">
        <v>0</v>
      </c>
      <c r="Q172" s="56">
        <v>0</v>
      </c>
      <c r="R172" s="56">
        <v>0</v>
      </c>
      <c r="S172" s="56">
        <v>0</v>
      </c>
      <c r="T172" s="55" t="s">
        <v>1227</v>
      </c>
      <c r="U172" s="55" t="s">
        <v>1145</v>
      </c>
      <c r="V172" s="55" t="s">
        <v>1146</v>
      </c>
      <c r="W172" s="55" t="s">
        <v>1158</v>
      </c>
      <c r="X172" s="55" t="s">
        <v>1154</v>
      </c>
      <c r="Y172" s="55" t="s">
        <v>1155</v>
      </c>
      <c r="Z172" s="55" t="s">
        <v>1170</v>
      </c>
    </row>
    <row r="173" spans="1:26">
      <c r="A173" s="55" t="s">
        <v>717</v>
      </c>
      <c r="B173" s="55" t="s">
        <v>272</v>
      </c>
      <c r="C173" s="55" t="s">
        <v>1142</v>
      </c>
      <c r="D173" s="55" t="s">
        <v>1143</v>
      </c>
      <c r="E173" s="55" t="s">
        <v>1143</v>
      </c>
      <c r="F173" s="55" t="s">
        <v>73</v>
      </c>
      <c r="G173" s="56">
        <v>1</v>
      </c>
      <c r="H173" s="56">
        <v>1</v>
      </c>
      <c r="I173" s="56">
        <v>0</v>
      </c>
      <c r="J173" s="56">
        <v>68</v>
      </c>
      <c r="K173" s="56">
        <v>0</v>
      </c>
      <c r="L173" s="56">
        <v>635062.21</v>
      </c>
      <c r="M173" s="56">
        <v>408908</v>
      </c>
      <c r="N173" s="56">
        <v>1253672.15</v>
      </c>
      <c r="O173" s="56">
        <v>46</v>
      </c>
      <c r="P173" s="56">
        <v>0</v>
      </c>
      <c r="Q173" s="56">
        <v>0</v>
      </c>
      <c r="R173" s="56">
        <v>0</v>
      </c>
      <c r="S173" s="56">
        <v>0</v>
      </c>
      <c r="T173" s="55" t="s">
        <v>1157</v>
      </c>
      <c r="U173" s="55" t="s">
        <v>1165</v>
      </c>
      <c r="V173" s="55" t="s">
        <v>1153</v>
      </c>
      <c r="W173" s="55" t="s">
        <v>1147</v>
      </c>
      <c r="X173" s="55" t="s">
        <v>1221</v>
      </c>
      <c r="Y173" s="55" t="s">
        <v>1155</v>
      </c>
      <c r="Z173" s="55" t="s">
        <v>1252</v>
      </c>
    </row>
    <row r="174" spans="1:26">
      <c r="A174" s="55" t="s">
        <v>718</v>
      </c>
      <c r="B174" s="55" t="s">
        <v>563</v>
      </c>
      <c r="C174" s="55" t="s">
        <v>1191</v>
      </c>
      <c r="D174" s="55" t="s">
        <v>1143</v>
      </c>
      <c r="E174" s="55" t="s">
        <v>1143</v>
      </c>
      <c r="F174" s="55" t="s">
        <v>73</v>
      </c>
      <c r="G174" s="56">
        <v>1</v>
      </c>
      <c r="H174" s="56">
        <v>1</v>
      </c>
      <c r="I174" s="56">
        <v>0</v>
      </c>
      <c r="J174" s="56">
        <v>8</v>
      </c>
      <c r="K174" s="56">
        <v>0</v>
      </c>
      <c r="L174" s="56">
        <v>417200000</v>
      </c>
      <c r="M174" s="56">
        <v>228023384.18</v>
      </c>
      <c r="N174" s="56">
        <v>5426660607.1</v>
      </c>
      <c r="O174" s="56">
        <v>171</v>
      </c>
      <c r="P174" s="56">
        <v>0</v>
      </c>
      <c r="Q174" s="56">
        <v>0</v>
      </c>
      <c r="R174" s="56">
        <v>0</v>
      </c>
      <c r="S174" s="56">
        <v>0</v>
      </c>
      <c r="T174" s="55" t="s">
        <v>1227</v>
      </c>
      <c r="U174" s="55" t="s">
        <v>1145</v>
      </c>
      <c r="V174" s="55" t="s">
        <v>1146</v>
      </c>
      <c r="W174" s="55" t="s">
        <v>1147</v>
      </c>
      <c r="X174" s="55" t="s">
        <v>1154</v>
      </c>
      <c r="Y174" s="55" t="s">
        <v>1155</v>
      </c>
      <c r="Z174" s="55" t="s">
        <v>1265</v>
      </c>
    </row>
    <row r="175" spans="1:26">
      <c r="A175" s="55" t="s">
        <v>719</v>
      </c>
      <c r="B175" s="55" t="s">
        <v>272</v>
      </c>
      <c r="C175" s="55" t="s">
        <v>1142</v>
      </c>
      <c r="D175" s="55" t="s">
        <v>1143</v>
      </c>
      <c r="E175" s="55" t="s">
        <v>1143</v>
      </c>
      <c r="F175" s="55" t="s">
        <v>73</v>
      </c>
      <c r="G175" s="56">
        <v>1</v>
      </c>
      <c r="H175" s="56">
        <v>1</v>
      </c>
      <c r="I175" s="56">
        <v>0</v>
      </c>
      <c r="J175" s="56">
        <v>3</v>
      </c>
      <c r="K175" s="56">
        <v>0</v>
      </c>
      <c r="L175" s="56">
        <v>298000000</v>
      </c>
      <c r="M175" s="56">
        <v>148150665.85</v>
      </c>
      <c r="N175" s="56">
        <v>660125405.96</v>
      </c>
      <c r="O175" s="56">
        <v>52</v>
      </c>
      <c r="P175" s="56">
        <v>0</v>
      </c>
      <c r="Q175" s="56">
        <v>0</v>
      </c>
      <c r="R175" s="56">
        <v>0</v>
      </c>
      <c r="S175" s="56">
        <v>0</v>
      </c>
      <c r="T175" s="55" t="s">
        <v>1167</v>
      </c>
      <c r="U175" s="55" t="s">
        <v>1165</v>
      </c>
      <c r="V175" s="55" t="s">
        <v>1146</v>
      </c>
      <c r="W175" s="55" t="s">
        <v>1147</v>
      </c>
      <c r="X175" s="55" t="s">
        <v>1154</v>
      </c>
      <c r="Y175" s="55" t="s">
        <v>1155</v>
      </c>
      <c r="Z175" s="55" t="s">
        <v>1185</v>
      </c>
    </row>
    <row r="176" spans="1:26">
      <c r="A176" s="55" t="s">
        <v>720</v>
      </c>
      <c r="B176" s="55" t="s">
        <v>272</v>
      </c>
      <c r="C176" s="55" t="s">
        <v>1187</v>
      </c>
      <c r="D176" s="55" t="s">
        <v>1188</v>
      </c>
      <c r="E176" s="55" t="s">
        <v>1188</v>
      </c>
      <c r="F176" s="55" t="s">
        <v>74</v>
      </c>
      <c r="G176" s="56">
        <v>2</v>
      </c>
      <c r="H176" s="56">
        <v>2</v>
      </c>
      <c r="I176" s="56">
        <v>8</v>
      </c>
      <c r="J176" s="56">
        <v>18</v>
      </c>
      <c r="K176" s="56">
        <v>0</v>
      </c>
      <c r="L176" s="56">
        <v>166176920.04</v>
      </c>
      <c r="M176" s="56">
        <v>39361926.63</v>
      </c>
      <c r="N176" s="56">
        <v>2060325084.43</v>
      </c>
      <c r="O176" s="56">
        <v>290</v>
      </c>
      <c r="P176" s="56">
        <v>0</v>
      </c>
      <c r="Q176" s="56">
        <v>0</v>
      </c>
      <c r="R176" s="56">
        <v>0</v>
      </c>
      <c r="S176" s="56">
        <v>1</v>
      </c>
      <c r="T176" s="55" t="s">
        <v>1144</v>
      </c>
      <c r="U176" s="55" t="s">
        <v>1165</v>
      </c>
      <c r="V176" s="55" t="s">
        <v>1146</v>
      </c>
      <c r="W176" s="55" t="s">
        <v>1147</v>
      </c>
      <c r="X176" s="55" t="s">
        <v>1159</v>
      </c>
      <c r="Y176" s="55" t="s">
        <v>1216</v>
      </c>
      <c r="Z176" s="55" t="s">
        <v>1185</v>
      </c>
    </row>
    <row r="177" spans="1:26">
      <c r="A177" s="55" t="s">
        <v>721</v>
      </c>
      <c r="B177" s="55" t="s">
        <v>272</v>
      </c>
      <c r="C177" s="55" t="s">
        <v>1142</v>
      </c>
      <c r="D177" s="55" t="s">
        <v>1143</v>
      </c>
      <c r="E177" s="55" t="s">
        <v>1143</v>
      </c>
      <c r="F177" s="55" t="s">
        <v>73</v>
      </c>
      <c r="G177" s="56">
        <v>1</v>
      </c>
      <c r="H177" s="56">
        <v>1</v>
      </c>
      <c r="I177" s="56">
        <v>0</v>
      </c>
      <c r="J177" s="56">
        <v>9</v>
      </c>
      <c r="K177" s="56">
        <v>0</v>
      </c>
      <c r="L177" s="56">
        <v>1212115000</v>
      </c>
      <c r="M177" s="56">
        <v>27025760.16</v>
      </c>
      <c r="N177" s="56">
        <v>540515203.1</v>
      </c>
      <c r="O177" s="56">
        <v>259</v>
      </c>
      <c r="P177" s="56">
        <v>0</v>
      </c>
      <c r="Q177" s="56">
        <v>0</v>
      </c>
      <c r="R177" s="56">
        <v>0</v>
      </c>
      <c r="S177" s="56">
        <v>0</v>
      </c>
      <c r="T177" s="55" t="s">
        <v>1227</v>
      </c>
      <c r="U177" s="55" t="s">
        <v>1165</v>
      </c>
      <c r="V177" s="55" t="s">
        <v>1232</v>
      </c>
      <c r="W177" s="55" t="s">
        <v>1181</v>
      </c>
      <c r="X177" s="55" t="s">
        <v>1159</v>
      </c>
      <c r="Y177" s="55" t="s">
        <v>1199</v>
      </c>
      <c r="Z177" s="55" t="s">
        <v>1268</v>
      </c>
    </row>
    <row r="178" spans="1:26">
      <c r="A178" s="55" t="s">
        <v>722</v>
      </c>
      <c r="B178" s="55" t="s">
        <v>272</v>
      </c>
      <c r="C178" s="55" t="s">
        <v>1142</v>
      </c>
      <c r="D178" s="55" t="s">
        <v>1143</v>
      </c>
      <c r="E178" s="55" t="s">
        <v>1143</v>
      </c>
      <c r="F178" s="55" t="s">
        <v>73</v>
      </c>
      <c r="G178" s="56">
        <v>1</v>
      </c>
      <c r="H178" s="56">
        <v>1</v>
      </c>
      <c r="I178" s="56">
        <v>0</v>
      </c>
      <c r="J178" s="56">
        <v>3</v>
      </c>
      <c r="K178" s="56">
        <v>0</v>
      </c>
      <c r="L178" s="56">
        <v>658580000</v>
      </c>
      <c r="M178" s="56">
        <v>731362.66</v>
      </c>
      <c r="N178" s="56">
        <v>14627253.24</v>
      </c>
      <c r="O178" s="56">
        <v>133</v>
      </c>
      <c r="P178" s="56">
        <v>0</v>
      </c>
      <c r="Q178" s="56">
        <v>0</v>
      </c>
      <c r="R178" s="56">
        <v>0</v>
      </c>
      <c r="S178" s="56">
        <v>0</v>
      </c>
      <c r="T178" s="55" t="s">
        <v>1162</v>
      </c>
      <c r="U178" s="55" t="s">
        <v>1145</v>
      </c>
      <c r="V178" s="55" t="s">
        <v>1153</v>
      </c>
      <c r="W178" s="55" t="s">
        <v>1147</v>
      </c>
      <c r="X178" s="55" t="s">
        <v>1154</v>
      </c>
      <c r="Y178" s="55" t="s">
        <v>1155</v>
      </c>
      <c r="Z178" s="55" t="s">
        <v>1166</v>
      </c>
    </row>
    <row r="179" spans="1:26">
      <c r="A179" s="55" t="s">
        <v>723</v>
      </c>
      <c r="B179" s="55" t="s">
        <v>272</v>
      </c>
      <c r="C179" s="55" t="s">
        <v>1142</v>
      </c>
      <c r="D179" s="55" t="s">
        <v>1143</v>
      </c>
      <c r="E179" s="55" t="s">
        <v>1143</v>
      </c>
      <c r="F179" s="55" t="s">
        <v>73</v>
      </c>
      <c r="G179" s="56">
        <v>1</v>
      </c>
      <c r="H179" s="56">
        <v>1</v>
      </c>
      <c r="I179" s="56">
        <v>0</v>
      </c>
      <c r="J179" s="56">
        <v>1</v>
      </c>
      <c r="K179" s="56">
        <v>0</v>
      </c>
      <c r="L179" s="56">
        <v>0</v>
      </c>
      <c r="M179" s="56">
        <v>0</v>
      </c>
      <c r="N179" s="56">
        <v>0</v>
      </c>
      <c r="O179" s="56">
        <v>3</v>
      </c>
      <c r="P179" s="56">
        <v>1</v>
      </c>
      <c r="Q179" s="56">
        <v>0</v>
      </c>
      <c r="R179" s="56">
        <v>0</v>
      </c>
      <c r="S179" s="56">
        <v>0</v>
      </c>
      <c r="T179" s="55" t="s">
        <v>1227</v>
      </c>
      <c r="U179" s="55" t="s">
        <v>1145</v>
      </c>
      <c r="V179" s="55" t="s">
        <v>1146</v>
      </c>
      <c r="W179" s="55" t="s">
        <v>1158</v>
      </c>
      <c r="X179" s="55" t="s">
        <v>1154</v>
      </c>
      <c r="Y179" s="55" t="s">
        <v>1155</v>
      </c>
      <c r="Z179" s="55" t="s">
        <v>1280</v>
      </c>
    </row>
    <row r="180" spans="1:26">
      <c r="A180" s="55" t="s">
        <v>724</v>
      </c>
      <c r="B180" s="55" t="s">
        <v>272</v>
      </c>
      <c r="C180" s="55" t="s">
        <v>1142</v>
      </c>
      <c r="D180" s="55" t="s">
        <v>1143</v>
      </c>
      <c r="E180" s="55" t="s">
        <v>1143</v>
      </c>
      <c r="F180" s="55" t="s">
        <v>73</v>
      </c>
      <c r="G180" s="56">
        <v>1</v>
      </c>
      <c r="H180" s="56">
        <v>1</v>
      </c>
      <c r="I180" s="56">
        <v>0</v>
      </c>
      <c r="J180" s="56">
        <v>11</v>
      </c>
      <c r="K180" s="56">
        <v>0</v>
      </c>
      <c r="L180" s="56">
        <v>555770000</v>
      </c>
      <c r="M180" s="56">
        <v>2764071.59</v>
      </c>
      <c r="N180" s="56">
        <v>55281431.73999999</v>
      </c>
      <c r="O180" s="56">
        <v>184</v>
      </c>
      <c r="P180" s="56">
        <v>0</v>
      </c>
      <c r="Q180" s="56">
        <v>0</v>
      </c>
      <c r="R180" s="56">
        <v>0</v>
      </c>
      <c r="S180" s="56">
        <v>0</v>
      </c>
      <c r="T180" s="55" t="s">
        <v>1227</v>
      </c>
      <c r="U180" s="55" t="s">
        <v>1165</v>
      </c>
      <c r="V180" s="55" t="s">
        <v>1146</v>
      </c>
      <c r="W180" s="55" t="s">
        <v>1147</v>
      </c>
      <c r="X180" s="55" t="s">
        <v>1159</v>
      </c>
      <c r="Y180" s="55" t="s">
        <v>1155</v>
      </c>
      <c r="Z180" s="55" t="s">
        <v>1193</v>
      </c>
    </row>
    <row r="181" spans="1:26">
      <c r="A181" s="55" t="s">
        <v>725</v>
      </c>
      <c r="B181" s="55" t="s">
        <v>272</v>
      </c>
      <c r="C181" s="55" t="s">
        <v>1187</v>
      </c>
      <c r="D181" s="55" t="s">
        <v>1143</v>
      </c>
      <c r="E181" s="55" t="s">
        <v>1188</v>
      </c>
      <c r="F181" s="55" t="s">
        <v>73</v>
      </c>
      <c r="G181" s="56">
        <v>1</v>
      </c>
      <c r="H181" s="56">
        <v>2</v>
      </c>
      <c r="I181" s="56">
        <v>0</v>
      </c>
      <c r="J181" s="56">
        <v>6</v>
      </c>
      <c r="K181" s="56">
        <v>1</v>
      </c>
      <c r="L181" s="56">
        <v>195190000</v>
      </c>
      <c r="M181" s="56">
        <v>464372.16</v>
      </c>
      <c r="N181" s="56">
        <v>9287443.15</v>
      </c>
      <c r="O181" s="56">
        <v>159</v>
      </c>
      <c r="P181" s="56">
        <v>0</v>
      </c>
      <c r="Q181" s="56">
        <v>0</v>
      </c>
      <c r="R181" s="56">
        <v>0</v>
      </c>
      <c r="S181" s="56">
        <v>0</v>
      </c>
      <c r="T181" s="55" t="s">
        <v>1227</v>
      </c>
      <c r="U181" s="55" t="s">
        <v>1145</v>
      </c>
      <c r="V181" s="55" t="s">
        <v>1232</v>
      </c>
      <c r="W181" s="55" t="s">
        <v>1158</v>
      </c>
      <c r="X181" s="55" t="s">
        <v>1159</v>
      </c>
      <c r="Y181" s="55" t="s">
        <v>1155</v>
      </c>
      <c r="Z181" s="55" t="s">
        <v>1193</v>
      </c>
    </row>
    <row r="182" spans="1:26">
      <c r="A182" s="55" t="s">
        <v>726</v>
      </c>
      <c r="B182" s="55" t="s">
        <v>546</v>
      </c>
      <c r="C182" s="55" t="s">
        <v>1151</v>
      </c>
      <c r="D182" s="55" t="s">
        <v>87</v>
      </c>
      <c r="E182" s="55" t="s">
        <v>87</v>
      </c>
      <c r="F182" s="55" t="s">
        <v>75</v>
      </c>
      <c r="G182" s="56">
        <v>5</v>
      </c>
      <c r="H182" s="56">
        <v>5</v>
      </c>
      <c r="I182" s="56">
        <v>1355</v>
      </c>
      <c r="J182" s="56">
        <v>18</v>
      </c>
      <c r="K182" s="56">
        <v>0</v>
      </c>
      <c r="L182" s="56">
        <v>0</v>
      </c>
      <c r="M182" s="56">
        <v>4394291.61</v>
      </c>
      <c r="N182" s="56">
        <v>168541107.88</v>
      </c>
      <c r="O182" s="56">
        <v>94</v>
      </c>
      <c r="P182" s="56">
        <v>1</v>
      </c>
      <c r="Q182" s="56">
        <v>0</v>
      </c>
      <c r="R182" s="56">
        <v>1</v>
      </c>
      <c r="S182" s="56">
        <v>1</v>
      </c>
      <c r="T182" s="55" t="s">
        <v>1152</v>
      </c>
      <c r="U182" s="55" t="s">
        <v>1145</v>
      </c>
      <c r="V182" s="55" t="s">
        <v>1146</v>
      </c>
      <c r="W182" s="55" t="s">
        <v>1180</v>
      </c>
      <c r="X182" s="55" t="s">
        <v>1154</v>
      </c>
      <c r="Y182" s="55" t="s">
        <v>1155</v>
      </c>
      <c r="Z182" s="55" t="s">
        <v>1170</v>
      </c>
    </row>
    <row r="183" spans="1:26">
      <c r="A183" s="55" t="s">
        <v>727</v>
      </c>
      <c r="B183" s="55" t="s">
        <v>272</v>
      </c>
      <c r="C183" s="55" t="s">
        <v>1142</v>
      </c>
      <c r="D183" s="55" t="s">
        <v>1143</v>
      </c>
      <c r="E183" s="55" t="s">
        <v>1143</v>
      </c>
      <c r="F183" s="55" t="s">
        <v>73</v>
      </c>
      <c r="G183" s="56">
        <v>1</v>
      </c>
      <c r="H183" s="56">
        <v>1</v>
      </c>
      <c r="I183" s="56">
        <v>0</v>
      </c>
      <c r="J183" s="56">
        <v>4</v>
      </c>
      <c r="K183" s="56">
        <v>0</v>
      </c>
      <c r="L183" s="56">
        <v>521500000</v>
      </c>
      <c r="M183" s="56">
        <v>0</v>
      </c>
      <c r="N183" s="56">
        <v>0</v>
      </c>
      <c r="O183" s="56">
        <v>230</v>
      </c>
      <c r="P183" s="56">
        <v>0</v>
      </c>
      <c r="Q183" s="56">
        <v>0</v>
      </c>
      <c r="R183" s="56">
        <v>0</v>
      </c>
      <c r="S183" s="56">
        <v>0</v>
      </c>
      <c r="T183" s="55" t="s">
        <v>1152</v>
      </c>
      <c r="U183" s="55" t="s">
        <v>1145</v>
      </c>
      <c r="V183" s="55" t="s">
        <v>1146</v>
      </c>
      <c r="W183" s="55" t="s">
        <v>1147</v>
      </c>
      <c r="X183" s="55" t="s">
        <v>1159</v>
      </c>
      <c r="Y183" s="55" t="s">
        <v>1155</v>
      </c>
      <c r="Z183" s="55" t="s">
        <v>1220</v>
      </c>
    </row>
    <row r="184" spans="1:26">
      <c r="A184" s="55" t="s">
        <v>728</v>
      </c>
      <c r="B184" s="55" t="s">
        <v>546</v>
      </c>
      <c r="C184" s="55" t="s">
        <v>1151</v>
      </c>
      <c r="D184" s="55" t="s">
        <v>87</v>
      </c>
      <c r="E184" s="55" t="s">
        <v>87</v>
      </c>
      <c r="F184" s="55" t="s">
        <v>75</v>
      </c>
      <c r="G184" s="56">
        <v>5</v>
      </c>
      <c r="H184" s="56">
        <v>5</v>
      </c>
      <c r="I184" s="56">
        <v>405</v>
      </c>
      <c r="J184" s="56">
        <v>89</v>
      </c>
      <c r="K184" s="56">
        <v>1</v>
      </c>
      <c r="L184" s="56">
        <v>0</v>
      </c>
      <c r="M184" s="56">
        <v>5283993.12</v>
      </c>
      <c r="N184" s="56">
        <v>170851666.45</v>
      </c>
      <c r="O184" s="56">
        <v>103</v>
      </c>
      <c r="P184" s="56">
        <v>1</v>
      </c>
      <c r="Q184" s="56">
        <v>0</v>
      </c>
      <c r="R184" s="56">
        <v>1</v>
      </c>
      <c r="S184" s="56">
        <v>1</v>
      </c>
      <c r="T184" s="55" t="s">
        <v>1152</v>
      </c>
      <c r="U184" s="55" t="s">
        <v>1145</v>
      </c>
      <c r="V184" s="55" t="s">
        <v>1146</v>
      </c>
      <c r="W184" s="55" t="s">
        <v>1180</v>
      </c>
      <c r="X184" s="55" t="s">
        <v>1154</v>
      </c>
      <c r="Y184" s="55" t="s">
        <v>1155</v>
      </c>
      <c r="Z184" s="55" t="s">
        <v>1156</v>
      </c>
    </row>
    <row r="185" spans="1:26">
      <c r="A185" s="55" t="s">
        <v>729</v>
      </c>
      <c r="B185" s="55" t="s">
        <v>563</v>
      </c>
      <c r="C185" s="55" t="s">
        <v>1191</v>
      </c>
      <c r="D185" s="55" t="s">
        <v>1188</v>
      </c>
      <c r="E185" s="55" t="s">
        <v>1188</v>
      </c>
      <c r="F185" s="55" t="s">
        <v>74</v>
      </c>
      <c r="G185" s="56">
        <v>2</v>
      </c>
      <c r="H185" s="56">
        <v>2</v>
      </c>
      <c r="I185" s="56">
        <v>12</v>
      </c>
      <c r="J185" s="56">
        <v>9</v>
      </c>
      <c r="K185" s="56">
        <v>1</v>
      </c>
      <c r="L185" s="56">
        <v>268200000</v>
      </c>
      <c r="M185" s="56">
        <v>54909802.8</v>
      </c>
      <c r="N185" s="56">
        <v>2035226826.5</v>
      </c>
      <c r="O185" s="56">
        <v>198</v>
      </c>
      <c r="P185" s="56">
        <v>0</v>
      </c>
      <c r="Q185" s="56">
        <v>0</v>
      </c>
      <c r="R185" s="56">
        <v>0</v>
      </c>
      <c r="S185" s="56">
        <v>1</v>
      </c>
      <c r="T185" s="55" t="s">
        <v>1278</v>
      </c>
      <c r="U185" s="55" t="s">
        <v>1145</v>
      </c>
      <c r="V185" s="55" t="s">
        <v>1153</v>
      </c>
      <c r="W185" s="55" t="s">
        <v>1147</v>
      </c>
      <c r="X185" s="55" t="s">
        <v>1154</v>
      </c>
      <c r="Y185" s="55" t="s">
        <v>1155</v>
      </c>
      <c r="Z185" s="55" t="s">
        <v>1264</v>
      </c>
    </row>
    <row r="186" spans="1:26">
      <c r="A186" s="55" t="s">
        <v>730</v>
      </c>
      <c r="B186" s="55" t="s">
        <v>272</v>
      </c>
      <c r="C186" s="55" t="s">
        <v>1142</v>
      </c>
      <c r="D186" s="55" t="s">
        <v>1143</v>
      </c>
      <c r="E186" s="55" t="s">
        <v>1143</v>
      </c>
      <c r="F186" s="55" t="s">
        <v>73</v>
      </c>
      <c r="G186" s="56">
        <v>1</v>
      </c>
      <c r="H186" s="56">
        <v>1</v>
      </c>
      <c r="I186" s="56">
        <v>0</v>
      </c>
      <c r="J186" s="56">
        <v>16</v>
      </c>
      <c r="K186" s="56">
        <v>0</v>
      </c>
      <c r="L186" s="56">
        <v>701045000</v>
      </c>
      <c r="M186" s="56">
        <v>129598386.52</v>
      </c>
      <c r="N186" s="56">
        <v>1834828532.4</v>
      </c>
      <c r="O186" s="56">
        <v>271</v>
      </c>
      <c r="P186" s="56">
        <v>0</v>
      </c>
      <c r="Q186" s="56">
        <v>0</v>
      </c>
      <c r="R186" s="56">
        <v>0</v>
      </c>
      <c r="S186" s="56">
        <v>0</v>
      </c>
      <c r="T186" s="55" t="s">
        <v>1144</v>
      </c>
      <c r="U186" s="55" t="s">
        <v>1145</v>
      </c>
      <c r="V186" s="55" t="s">
        <v>1146</v>
      </c>
      <c r="W186" s="55" t="s">
        <v>1147</v>
      </c>
      <c r="X186" s="55" t="s">
        <v>1154</v>
      </c>
      <c r="Y186" s="55" t="s">
        <v>1155</v>
      </c>
      <c r="Z186" s="55" t="s">
        <v>1280</v>
      </c>
    </row>
    <row r="187" spans="1:26">
      <c r="A187" s="55" t="s">
        <v>731</v>
      </c>
      <c r="B187" s="55" t="s">
        <v>272</v>
      </c>
      <c r="C187" s="55" t="s">
        <v>1142</v>
      </c>
      <c r="D187" s="55" t="s">
        <v>1143</v>
      </c>
      <c r="E187" s="55" t="s">
        <v>1143</v>
      </c>
      <c r="F187" s="55" t="s">
        <v>73</v>
      </c>
      <c r="G187" s="56">
        <v>1</v>
      </c>
      <c r="H187" s="56">
        <v>1</v>
      </c>
      <c r="I187" s="56">
        <v>0</v>
      </c>
      <c r="J187" s="56">
        <v>1</v>
      </c>
      <c r="K187" s="56">
        <v>0</v>
      </c>
      <c r="L187" s="56">
        <v>11920000</v>
      </c>
      <c r="M187" s="56">
        <v>0</v>
      </c>
      <c r="N187" s="56">
        <v>0</v>
      </c>
      <c r="O187" s="56">
        <v>2</v>
      </c>
      <c r="P187" s="56">
        <v>0</v>
      </c>
      <c r="Q187" s="56">
        <v>0</v>
      </c>
      <c r="R187" s="56">
        <v>0</v>
      </c>
      <c r="S187" s="56">
        <v>0</v>
      </c>
      <c r="T187" s="55" t="s">
        <v>1167</v>
      </c>
      <c r="U187" s="55" t="s">
        <v>1145</v>
      </c>
      <c r="V187" s="55" t="s">
        <v>1146</v>
      </c>
      <c r="W187" s="55" t="s">
        <v>1147</v>
      </c>
      <c r="X187" s="55" t="s">
        <v>1154</v>
      </c>
      <c r="Y187" s="55" t="s">
        <v>1281</v>
      </c>
      <c r="Z187" s="55" t="s">
        <v>1282</v>
      </c>
    </row>
    <row r="188" spans="1:26">
      <c r="A188" s="55" t="s">
        <v>732</v>
      </c>
      <c r="B188" s="55" t="s">
        <v>272</v>
      </c>
      <c r="C188" s="55" t="s">
        <v>1142</v>
      </c>
      <c r="D188" s="55" t="s">
        <v>1143</v>
      </c>
      <c r="E188" s="55" t="s">
        <v>1143</v>
      </c>
      <c r="F188" s="55" t="s">
        <v>73</v>
      </c>
      <c r="G188" s="56">
        <v>1</v>
      </c>
      <c r="H188" s="56">
        <v>1</v>
      </c>
      <c r="I188" s="56">
        <v>0</v>
      </c>
      <c r="J188" s="56">
        <v>2</v>
      </c>
      <c r="K188" s="56">
        <v>0</v>
      </c>
      <c r="L188" s="56">
        <v>28310000</v>
      </c>
      <c r="M188" s="56">
        <v>885462.54</v>
      </c>
      <c r="N188" s="56">
        <v>17709250.86</v>
      </c>
      <c r="O188" s="56">
        <v>125</v>
      </c>
      <c r="P188" s="56">
        <v>0</v>
      </c>
      <c r="Q188" s="56">
        <v>0</v>
      </c>
      <c r="R188" s="56">
        <v>0</v>
      </c>
      <c r="S188" s="56">
        <v>0</v>
      </c>
      <c r="T188" s="55" t="s">
        <v>1157</v>
      </c>
      <c r="U188" s="55" t="s">
        <v>1165</v>
      </c>
      <c r="V188" s="55" t="s">
        <v>1153</v>
      </c>
      <c r="W188" s="55" t="s">
        <v>1147</v>
      </c>
      <c r="X188" s="55" t="s">
        <v>1148</v>
      </c>
      <c r="Y188" s="55" t="s">
        <v>1155</v>
      </c>
      <c r="Z188" s="55" t="s">
        <v>1270</v>
      </c>
    </row>
    <row r="189" spans="1:26">
      <c r="A189" s="55" t="s">
        <v>733</v>
      </c>
      <c r="B189" s="55" t="s">
        <v>272</v>
      </c>
      <c r="C189" s="55" t="s">
        <v>1142</v>
      </c>
      <c r="D189" s="55" t="s">
        <v>1143</v>
      </c>
      <c r="E189" s="55" t="s">
        <v>1143</v>
      </c>
      <c r="F189" s="55" t="s">
        <v>73</v>
      </c>
      <c r="G189" s="56">
        <v>1</v>
      </c>
      <c r="H189" s="56">
        <v>1</v>
      </c>
      <c r="I189" s="56">
        <v>0</v>
      </c>
      <c r="J189" s="56">
        <v>11</v>
      </c>
      <c r="K189" s="56">
        <v>0</v>
      </c>
      <c r="L189" s="56">
        <v>222755000</v>
      </c>
      <c r="M189" s="56">
        <v>3760933.91</v>
      </c>
      <c r="N189" s="56">
        <v>75218678.21000001</v>
      </c>
      <c r="O189" s="56">
        <v>323</v>
      </c>
      <c r="P189" s="56">
        <v>0</v>
      </c>
      <c r="Q189" s="56">
        <v>0</v>
      </c>
      <c r="R189" s="56">
        <v>0</v>
      </c>
      <c r="S189" s="56">
        <v>0</v>
      </c>
      <c r="T189" s="55" t="s">
        <v>1152</v>
      </c>
      <c r="U189" s="55" t="s">
        <v>1165</v>
      </c>
      <c r="V189" s="55" t="s">
        <v>1146</v>
      </c>
      <c r="W189" s="55" t="s">
        <v>1168</v>
      </c>
      <c r="X189" s="55" t="s">
        <v>1154</v>
      </c>
      <c r="Y189" s="55" t="s">
        <v>1281</v>
      </c>
      <c r="Z189" s="55" t="s">
        <v>1185</v>
      </c>
    </row>
    <row r="190" spans="1:26">
      <c r="A190" s="55" t="s">
        <v>734</v>
      </c>
      <c r="B190" s="55" t="s">
        <v>272</v>
      </c>
      <c r="C190" s="55" t="s">
        <v>1142</v>
      </c>
      <c r="D190" s="55" t="s">
        <v>1143</v>
      </c>
      <c r="E190" s="55" t="s">
        <v>1143</v>
      </c>
      <c r="F190" s="55" t="s">
        <v>73</v>
      </c>
      <c r="G190" s="56">
        <v>1</v>
      </c>
      <c r="H190" s="56">
        <v>1</v>
      </c>
      <c r="I190" s="56">
        <v>0</v>
      </c>
      <c r="J190" s="56">
        <v>95</v>
      </c>
      <c r="K190" s="56">
        <v>0</v>
      </c>
      <c r="L190" s="56">
        <v>95617051.55</v>
      </c>
      <c r="M190" s="56">
        <v>18298444.84</v>
      </c>
      <c r="N190" s="56">
        <v>93499191.91</v>
      </c>
      <c r="O190" s="56">
        <v>90</v>
      </c>
      <c r="P190" s="56">
        <v>0</v>
      </c>
      <c r="Q190" s="56">
        <v>0</v>
      </c>
      <c r="R190" s="56">
        <v>0</v>
      </c>
      <c r="S190" s="56">
        <v>0</v>
      </c>
      <c r="T190" s="55" t="s">
        <v>1227</v>
      </c>
      <c r="U190" s="55" t="s">
        <v>1165</v>
      </c>
      <c r="V190" s="55" t="s">
        <v>1146</v>
      </c>
      <c r="W190" s="55" t="s">
        <v>1147</v>
      </c>
      <c r="X190" s="55" t="s">
        <v>1154</v>
      </c>
      <c r="Y190" s="55" t="s">
        <v>1155</v>
      </c>
      <c r="Z190" s="55" t="s">
        <v>1229</v>
      </c>
    </row>
    <row r="191" spans="1:26">
      <c r="A191" s="55" t="s">
        <v>735</v>
      </c>
      <c r="B191" s="55" t="s">
        <v>272</v>
      </c>
      <c r="C191" s="55" t="s">
        <v>1142</v>
      </c>
      <c r="D191" s="55" t="s">
        <v>1143</v>
      </c>
      <c r="E191" s="55" t="s">
        <v>1143</v>
      </c>
      <c r="F191" s="55" t="s">
        <v>73</v>
      </c>
      <c r="G191" s="56">
        <v>1</v>
      </c>
      <c r="H191" s="56">
        <v>1</v>
      </c>
      <c r="I191" s="56">
        <v>0</v>
      </c>
      <c r="J191" s="56">
        <v>2</v>
      </c>
      <c r="K191" s="56">
        <v>0</v>
      </c>
      <c r="L191" s="56">
        <v>149000000</v>
      </c>
      <c r="M191" s="56">
        <v>4131618.66</v>
      </c>
      <c r="N191" s="56">
        <v>82632373.2</v>
      </c>
      <c r="O191" s="56">
        <v>127</v>
      </c>
      <c r="P191" s="56">
        <v>0</v>
      </c>
      <c r="Q191" s="56">
        <v>0</v>
      </c>
      <c r="R191" s="56">
        <v>0</v>
      </c>
      <c r="S191" s="56">
        <v>0</v>
      </c>
      <c r="T191" s="55" t="s">
        <v>1157</v>
      </c>
      <c r="U191" s="55" t="s">
        <v>1145</v>
      </c>
      <c r="V191" s="55" t="s">
        <v>1153</v>
      </c>
      <c r="W191" s="55" t="s">
        <v>1147</v>
      </c>
      <c r="X191" s="55" t="s">
        <v>1154</v>
      </c>
      <c r="Y191" s="55" t="s">
        <v>1155</v>
      </c>
      <c r="Z191" s="55" t="s">
        <v>1254</v>
      </c>
    </row>
    <row r="192" spans="1:26">
      <c r="A192" s="55" t="s">
        <v>736</v>
      </c>
      <c r="B192" s="55" t="s">
        <v>272</v>
      </c>
      <c r="C192" s="55" t="s">
        <v>1142</v>
      </c>
      <c r="D192" s="55" t="s">
        <v>1143</v>
      </c>
      <c r="E192" s="55" t="s">
        <v>1143</v>
      </c>
      <c r="F192" s="55" t="s">
        <v>73</v>
      </c>
      <c r="G192" s="56">
        <v>1</v>
      </c>
      <c r="H192" s="56">
        <v>1</v>
      </c>
      <c r="I192" s="56">
        <v>0</v>
      </c>
      <c r="J192" s="56">
        <v>6</v>
      </c>
      <c r="K192" s="56">
        <v>0</v>
      </c>
      <c r="L192" s="56">
        <v>55130000</v>
      </c>
      <c r="M192" s="56">
        <v>11140390.27</v>
      </c>
      <c r="N192" s="56">
        <v>1381298177.15</v>
      </c>
      <c r="O192" s="56">
        <v>55</v>
      </c>
      <c r="P192" s="56">
        <v>0</v>
      </c>
      <c r="Q192" s="56">
        <v>0</v>
      </c>
      <c r="R192" s="56">
        <v>0</v>
      </c>
      <c r="S192" s="56">
        <v>0</v>
      </c>
      <c r="T192" s="55" t="s">
        <v>1167</v>
      </c>
      <c r="U192" s="55" t="s">
        <v>1165</v>
      </c>
      <c r="V192" s="55" t="s">
        <v>1146</v>
      </c>
      <c r="W192" s="55" t="s">
        <v>1147</v>
      </c>
      <c r="X192" s="55" t="s">
        <v>1154</v>
      </c>
      <c r="Y192" s="55" t="s">
        <v>1155</v>
      </c>
      <c r="Z192" s="55" t="s">
        <v>1238</v>
      </c>
    </row>
    <row r="193" spans="1:26">
      <c r="A193" s="55" t="s">
        <v>737</v>
      </c>
      <c r="B193" s="55" t="s">
        <v>546</v>
      </c>
      <c r="C193" s="55" t="s">
        <v>1151</v>
      </c>
      <c r="D193" s="55" t="s">
        <v>87</v>
      </c>
      <c r="E193" s="55" t="s">
        <v>87</v>
      </c>
      <c r="F193" s="55" t="s">
        <v>75</v>
      </c>
      <c r="G193" s="56">
        <v>5</v>
      </c>
      <c r="H193" s="56">
        <v>5</v>
      </c>
      <c r="I193" s="56">
        <v>123</v>
      </c>
      <c r="J193" s="56">
        <v>225</v>
      </c>
      <c r="K193" s="56">
        <v>1</v>
      </c>
      <c r="L193" s="56">
        <v>666810.48</v>
      </c>
      <c r="M193" s="56">
        <v>11322415.73</v>
      </c>
      <c r="N193" s="56">
        <v>319281291.53</v>
      </c>
      <c r="O193" s="56">
        <v>91</v>
      </c>
      <c r="P193" s="56">
        <v>0</v>
      </c>
      <c r="Q193" s="56">
        <v>0</v>
      </c>
      <c r="R193" s="56">
        <v>1</v>
      </c>
      <c r="S193" s="56">
        <v>1</v>
      </c>
      <c r="T193" s="55" t="s">
        <v>1152</v>
      </c>
      <c r="U193" s="55" t="s">
        <v>1145</v>
      </c>
      <c r="V193" s="55" t="s">
        <v>1153</v>
      </c>
      <c r="W193" s="55" t="s">
        <v>1147</v>
      </c>
      <c r="X193" s="55" t="s">
        <v>1154</v>
      </c>
      <c r="Y193" s="55" t="s">
        <v>1206</v>
      </c>
      <c r="Z193" s="55" t="s">
        <v>1156</v>
      </c>
    </row>
    <row r="194" spans="1:26">
      <c r="A194" s="55" t="s">
        <v>738</v>
      </c>
      <c r="B194" s="55" t="s">
        <v>272</v>
      </c>
      <c r="C194" s="55" t="s">
        <v>1142</v>
      </c>
      <c r="D194" s="55" t="s">
        <v>1143</v>
      </c>
      <c r="E194" s="55" t="s">
        <v>1143</v>
      </c>
      <c r="F194" s="55" t="s">
        <v>73</v>
      </c>
      <c r="G194" s="56">
        <v>1</v>
      </c>
      <c r="H194" s="56">
        <v>1</v>
      </c>
      <c r="I194" s="56">
        <v>0</v>
      </c>
      <c r="J194" s="56">
        <v>6</v>
      </c>
      <c r="K194" s="56">
        <v>0</v>
      </c>
      <c r="L194" s="56">
        <v>7450000</v>
      </c>
      <c r="M194" s="56">
        <v>1235950.69</v>
      </c>
      <c r="N194" s="56">
        <v>109658294.36</v>
      </c>
      <c r="O194" s="56">
        <v>108</v>
      </c>
      <c r="P194" s="56">
        <v>0</v>
      </c>
      <c r="Q194" s="56">
        <v>0</v>
      </c>
      <c r="R194" s="56">
        <v>0</v>
      </c>
      <c r="S194" s="56">
        <v>0</v>
      </c>
      <c r="T194" s="55" t="s">
        <v>1152</v>
      </c>
      <c r="U194" s="55" t="s">
        <v>1145</v>
      </c>
      <c r="V194" s="55" t="s">
        <v>1153</v>
      </c>
      <c r="W194" s="55" t="s">
        <v>1168</v>
      </c>
      <c r="X194" s="55" t="s">
        <v>1148</v>
      </c>
      <c r="Y194" s="55" t="s">
        <v>1206</v>
      </c>
      <c r="Z194" s="55" t="s">
        <v>1192</v>
      </c>
    </row>
    <row r="195" spans="1:26">
      <c r="A195" s="55" t="s">
        <v>739</v>
      </c>
      <c r="B195" s="55" t="s">
        <v>272</v>
      </c>
      <c r="C195" s="55" t="s">
        <v>1142</v>
      </c>
      <c r="D195" s="55" t="s">
        <v>1143</v>
      </c>
      <c r="E195" s="55" t="s">
        <v>1143</v>
      </c>
      <c r="F195" s="55" t="s">
        <v>73</v>
      </c>
      <c r="G195" s="56">
        <v>1</v>
      </c>
      <c r="H195" s="56">
        <v>1</v>
      </c>
      <c r="I195" s="56">
        <v>0</v>
      </c>
      <c r="J195" s="56">
        <v>50</v>
      </c>
      <c r="K195" s="56">
        <v>0</v>
      </c>
      <c r="L195" s="56">
        <v>128254.15</v>
      </c>
      <c r="M195" s="56">
        <v>85123.28999999999</v>
      </c>
      <c r="N195" s="56">
        <v>128254.15</v>
      </c>
      <c r="O195" s="56">
        <v>32</v>
      </c>
      <c r="P195" s="56">
        <v>0</v>
      </c>
      <c r="Q195" s="56">
        <v>0</v>
      </c>
      <c r="R195" s="56">
        <v>0</v>
      </c>
      <c r="S195" s="56">
        <v>0</v>
      </c>
      <c r="T195" s="55" t="s">
        <v>1157</v>
      </c>
      <c r="U195" s="55" t="s">
        <v>1165</v>
      </c>
      <c r="V195" s="55" t="s">
        <v>1153</v>
      </c>
      <c r="W195" s="55" t="s">
        <v>1147</v>
      </c>
      <c r="X195" s="55" t="s">
        <v>1154</v>
      </c>
      <c r="Y195" s="55" t="s">
        <v>1206</v>
      </c>
      <c r="Z195" s="55" t="s">
        <v>1230</v>
      </c>
    </row>
    <row r="196" spans="1:26">
      <c r="A196" s="55" t="s">
        <v>740</v>
      </c>
      <c r="B196" s="55" t="s">
        <v>272</v>
      </c>
      <c r="C196" s="55" t="s">
        <v>1142</v>
      </c>
      <c r="D196" s="55" t="s">
        <v>1143</v>
      </c>
      <c r="E196" s="55" t="s">
        <v>1143</v>
      </c>
      <c r="F196" s="55" t="s">
        <v>73</v>
      </c>
      <c r="G196" s="56">
        <v>1</v>
      </c>
      <c r="H196" s="56">
        <v>1</v>
      </c>
      <c r="I196" s="56">
        <v>0</v>
      </c>
      <c r="J196" s="56">
        <v>2</v>
      </c>
      <c r="K196" s="56">
        <v>0</v>
      </c>
      <c r="L196" s="56">
        <v>59600000</v>
      </c>
      <c r="M196" s="56">
        <v>0</v>
      </c>
      <c r="N196" s="56">
        <v>0</v>
      </c>
      <c r="O196" s="56">
        <v>13</v>
      </c>
      <c r="P196" s="56">
        <v>0</v>
      </c>
      <c r="Q196" s="56">
        <v>0</v>
      </c>
      <c r="R196" s="56">
        <v>0</v>
      </c>
      <c r="S196" s="56">
        <v>0</v>
      </c>
      <c r="T196" s="55" t="s">
        <v>1157</v>
      </c>
      <c r="U196" s="55" t="s">
        <v>1145</v>
      </c>
      <c r="V196" s="55" t="s">
        <v>1153</v>
      </c>
      <c r="W196" s="55" t="s">
        <v>1168</v>
      </c>
      <c r="X196" s="55" t="s">
        <v>1154</v>
      </c>
      <c r="Y196" s="55" t="s">
        <v>1206</v>
      </c>
      <c r="Z196" s="55" t="s">
        <v>1156</v>
      </c>
    </row>
    <row r="197" spans="1:26">
      <c r="A197" s="55" t="s">
        <v>741</v>
      </c>
      <c r="B197" s="55" t="s">
        <v>272</v>
      </c>
      <c r="C197" s="55" t="s">
        <v>1142</v>
      </c>
      <c r="D197" s="55" t="s">
        <v>1143</v>
      </c>
      <c r="E197" s="55" t="s">
        <v>1143</v>
      </c>
      <c r="F197" s="55" t="s">
        <v>73</v>
      </c>
      <c r="G197" s="56">
        <v>1</v>
      </c>
      <c r="H197" s="56">
        <v>1</v>
      </c>
      <c r="I197" s="56">
        <v>0</v>
      </c>
      <c r="J197" s="56">
        <v>6</v>
      </c>
      <c r="K197" s="56">
        <v>0</v>
      </c>
      <c r="L197" s="56">
        <v>89400000</v>
      </c>
      <c r="M197" s="56">
        <v>112577.06</v>
      </c>
      <c r="N197" s="56">
        <v>2251541.15</v>
      </c>
      <c r="O197" s="56">
        <v>121</v>
      </c>
      <c r="P197" s="56">
        <v>0</v>
      </c>
      <c r="Q197" s="56">
        <v>0</v>
      </c>
      <c r="R197" s="56">
        <v>0</v>
      </c>
      <c r="S197" s="56">
        <v>0</v>
      </c>
      <c r="T197" s="55" t="s">
        <v>1173</v>
      </c>
      <c r="U197" s="55" t="s">
        <v>1145</v>
      </c>
      <c r="V197" s="55" t="s">
        <v>1146</v>
      </c>
      <c r="W197" s="55" t="s">
        <v>1180</v>
      </c>
      <c r="X197" s="55" t="s">
        <v>1154</v>
      </c>
      <c r="Y197" s="55" t="s">
        <v>1206</v>
      </c>
      <c r="Z197" s="55" t="s">
        <v>1185</v>
      </c>
    </row>
    <row r="198" spans="1:26">
      <c r="A198" s="55" t="s">
        <v>742</v>
      </c>
      <c r="B198" s="55" t="s">
        <v>272</v>
      </c>
      <c r="C198" s="55" t="s">
        <v>1142</v>
      </c>
      <c r="D198" s="55" t="s">
        <v>1143</v>
      </c>
      <c r="E198" s="55" t="s">
        <v>1143</v>
      </c>
      <c r="F198" s="55" t="s">
        <v>73</v>
      </c>
      <c r="G198" s="56">
        <v>1</v>
      </c>
      <c r="H198" s="56">
        <v>1</v>
      </c>
      <c r="I198" s="56">
        <v>0</v>
      </c>
      <c r="J198" s="56">
        <v>7</v>
      </c>
      <c r="K198" s="56">
        <v>0</v>
      </c>
      <c r="L198" s="56">
        <v>126650000</v>
      </c>
      <c r="M198" s="56">
        <v>79875.63</v>
      </c>
      <c r="N198" s="56">
        <v>1597512.56</v>
      </c>
      <c r="O198" s="56">
        <v>218</v>
      </c>
      <c r="P198" s="56">
        <v>0</v>
      </c>
      <c r="Q198" s="56">
        <v>0</v>
      </c>
      <c r="R198" s="56">
        <v>0</v>
      </c>
      <c r="S198" s="56">
        <v>0</v>
      </c>
      <c r="T198" s="55" t="s">
        <v>1173</v>
      </c>
      <c r="U198" s="55" t="s">
        <v>1165</v>
      </c>
      <c r="V198" s="55" t="s">
        <v>1146</v>
      </c>
      <c r="W198" s="55" t="s">
        <v>1168</v>
      </c>
      <c r="X198" s="55" t="s">
        <v>1154</v>
      </c>
      <c r="Y198" s="55" t="s">
        <v>1206</v>
      </c>
      <c r="Z198" s="55" t="s">
        <v>1156</v>
      </c>
    </row>
    <row r="199" spans="1:26">
      <c r="A199" s="55" t="s">
        <v>743</v>
      </c>
      <c r="B199" s="55" t="s">
        <v>272</v>
      </c>
      <c r="C199" s="55" t="s">
        <v>1142</v>
      </c>
      <c r="D199" s="55" t="s">
        <v>1143</v>
      </c>
      <c r="E199" s="55" t="s">
        <v>1143</v>
      </c>
      <c r="F199" s="55" t="s">
        <v>73</v>
      </c>
      <c r="G199" s="56">
        <v>1</v>
      </c>
      <c r="H199" s="56">
        <v>1</v>
      </c>
      <c r="I199" s="56">
        <v>0</v>
      </c>
      <c r="J199" s="56">
        <v>8</v>
      </c>
      <c r="K199" s="56">
        <v>0</v>
      </c>
      <c r="L199" s="56">
        <v>25330000</v>
      </c>
      <c r="M199" s="56">
        <v>22096.52</v>
      </c>
      <c r="N199" s="56">
        <v>441930.32</v>
      </c>
      <c r="O199" s="56">
        <v>96</v>
      </c>
      <c r="P199" s="56">
        <v>0</v>
      </c>
      <c r="Q199" s="56">
        <v>0</v>
      </c>
      <c r="R199" s="56">
        <v>0</v>
      </c>
      <c r="S199" s="56">
        <v>0</v>
      </c>
      <c r="T199" s="55" t="s">
        <v>1157</v>
      </c>
      <c r="U199" s="55" t="s">
        <v>1145</v>
      </c>
      <c r="V199" s="55" t="s">
        <v>1153</v>
      </c>
      <c r="W199" s="55" t="s">
        <v>1147</v>
      </c>
      <c r="X199" s="55" t="s">
        <v>1221</v>
      </c>
      <c r="Y199" s="55" t="s">
        <v>1274</v>
      </c>
      <c r="Z199" s="55" t="s">
        <v>1261</v>
      </c>
    </row>
    <row r="200" spans="1:26">
      <c r="A200" s="55" t="s">
        <v>744</v>
      </c>
      <c r="B200" s="55" t="s">
        <v>272</v>
      </c>
      <c r="C200" s="55" t="s">
        <v>1142</v>
      </c>
      <c r="D200" s="55" t="s">
        <v>1143</v>
      </c>
      <c r="E200" s="55" t="s">
        <v>1143</v>
      </c>
      <c r="F200" s="55" t="s">
        <v>73</v>
      </c>
      <c r="G200" s="56">
        <v>1</v>
      </c>
      <c r="H200" s="56">
        <v>1</v>
      </c>
      <c r="I200" s="56">
        <v>0</v>
      </c>
      <c r="J200" s="56">
        <v>3</v>
      </c>
      <c r="K200" s="56">
        <v>0</v>
      </c>
      <c r="L200" s="56">
        <v>26820000</v>
      </c>
      <c r="M200" s="56">
        <v>689597.42</v>
      </c>
      <c r="N200" s="56">
        <v>13791948.36</v>
      </c>
      <c r="O200" s="56">
        <v>15</v>
      </c>
      <c r="P200" s="56">
        <v>0</v>
      </c>
      <c r="Q200" s="56">
        <v>0</v>
      </c>
      <c r="R200" s="56">
        <v>0</v>
      </c>
      <c r="S200" s="56">
        <v>0</v>
      </c>
      <c r="T200" s="55" t="s">
        <v>1152</v>
      </c>
      <c r="U200" s="55" t="s">
        <v>1145</v>
      </c>
      <c r="V200" s="55" t="s">
        <v>1153</v>
      </c>
      <c r="W200" s="55" t="s">
        <v>1181</v>
      </c>
      <c r="X200" s="55" t="s">
        <v>1154</v>
      </c>
      <c r="Y200" s="55" t="s">
        <v>1206</v>
      </c>
      <c r="Z200" s="55" t="s">
        <v>1170</v>
      </c>
    </row>
    <row r="201" spans="1:26">
      <c r="A201" s="55" t="s">
        <v>745</v>
      </c>
      <c r="B201" s="55" t="s">
        <v>563</v>
      </c>
      <c r="C201" s="55" t="s">
        <v>1191</v>
      </c>
      <c r="D201" s="55" t="s">
        <v>1188</v>
      </c>
      <c r="E201" s="55" t="s">
        <v>1188</v>
      </c>
      <c r="F201" s="55" t="s">
        <v>74</v>
      </c>
      <c r="G201" s="56">
        <v>2</v>
      </c>
      <c r="H201" s="56">
        <v>2</v>
      </c>
      <c r="I201" s="56">
        <v>35</v>
      </c>
      <c r="J201" s="56">
        <v>4</v>
      </c>
      <c r="K201" s="56">
        <v>2</v>
      </c>
      <c r="L201" s="56">
        <v>100345724.76</v>
      </c>
      <c r="M201" s="56">
        <v>45188411.05</v>
      </c>
      <c r="N201" s="56">
        <v>3362304085.58</v>
      </c>
      <c r="O201" s="56">
        <v>139</v>
      </c>
      <c r="P201" s="56">
        <v>0</v>
      </c>
      <c r="Q201" s="56">
        <v>0</v>
      </c>
      <c r="R201" s="56">
        <v>0</v>
      </c>
      <c r="S201" s="56">
        <v>1</v>
      </c>
      <c r="T201" s="55" t="s">
        <v>1173</v>
      </c>
      <c r="U201" s="55" t="s">
        <v>1145</v>
      </c>
      <c r="V201" s="55" t="s">
        <v>1146</v>
      </c>
      <c r="W201" s="55" t="s">
        <v>1168</v>
      </c>
      <c r="X201" s="55" t="s">
        <v>1205</v>
      </c>
      <c r="Y201" s="55" t="s">
        <v>1206</v>
      </c>
      <c r="Z201" s="55" t="s">
        <v>1220</v>
      </c>
    </row>
    <row r="202" spans="1:26">
      <c r="A202" s="55" t="s">
        <v>746</v>
      </c>
      <c r="B202" s="55" t="s">
        <v>272</v>
      </c>
      <c r="C202" s="55" t="s">
        <v>1142</v>
      </c>
      <c r="D202" s="55" t="s">
        <v>1143</v>
      </c>
      <c r="E202" s="55" t="s">
        <v>1143</v>
      </c>
      <c r="F202" s="55" t="s">
        <v>73</v>
      </c>
      <c r="G202" s="56">
        <v>1</v>
      </c>
      <c r="H202" s="56">
        <v>1</v>
      </c>
      <c r="I202" s="56">
        <v>0</v>
      </c>
      <c r="J202" s="56">
        <v>21</v>
      </c>
      <c r="K202" s="56">
        <v>0</v>
      </c>
      <c r="L202" s="56">
        <v>255386000</v>
      </c>
      <c r="M202" s="56">
        <v>440819.94</v>
      </c>
      <c r="N202" s="56">
        <v>8816398.85</v>
      </c>
      <c r="O202" s="56">
        <v>56</v>
      </c>
      <c r="P202" s="56">
        <v>0</v>
      </c>
      <c r="Q202" s="56">
        <v>0</v>
      </c>
      <c r="R202" s="56">
        <v>0</v>
      </c>
      <c r="S202" s="56">
        <v>0</v>
      </c>
      <c r="T202" s="55" t="s">
        <v>1227</v>
      </c>
      <c r="U202" s="55" t="s">
        <v>1145</v>
      </c>
      <c r="V202" s="55" t="s">
        <v>1146</v>
      </c>
      <c r="W202" s="55" t="s">
        <v>1147</v>
      </c>
      <c r="X202" s="55" t="s">
        <v>1154</v>
      </c>
      <c r="Y202" s="55" t="s">
        <v>1155</v>
      </c>
      <c r="Z202" s="55" t="s">
        <v>1166</v>
      </c>
    </row>
    <row r="203" spans="1:26">
      <c r="A203" s="55" t="s">
        <v>747</v>
      </c>
      <c r="B203" s="55" t="s">
        <v>272</v>
      </c>
      <c r="C203" s="55" t="s">
        <v>1142</v>
      </c>
      <c r="D203" s="55" t="s">
        <v>1143</v>
      </c>
      <c r="E203" s="55" t="s">
        <v>1143</v>
      </c>
      <c r="F203" s="55" t="s">
        <v>73</v>
      </c>
      <c r="G203" s="56">
        <v>1</v>
      </c>
      <c r="H203" s="56">
        <v>1</v>
      </c>
      <c r="I203" s="56">
        <v>0</v>
      </c>
      <c r="J203" s="56">
        <v>3</v>
      </c>
      <c r="K203" s="56">
        <v>0</v>
      </c>
      <c r="L203" s="56">
        <v>0</v>
      </c>
      <c r="M203" s="56">
        <v>8383738.41</v>
      </c>
      <c r="N203" s="56">
        <v>1080079986</v>
      </c>
      <c r="O203" s="56">
        <v>116</v>
      </c>
      <c r="P203" s="56">
        <v>1</v>
      </c>
      <c r="Q203" s="56">
        <v>0</v>
      </c>
      <c r="R203" s="56">
        <v>0</v>
      </c>
      <c r="S203" s="56">
        <v>0</v>
      </c>
      <c r="T203" s="55" t="s">
        <v>1167</v>
      </c>
      <c r="U203" s="55" t="s">
        <v>1145</v>
      </c>
      <c r="V203" s="55" t="s">
        <v>1153</v>
      </c>
      <c r="W203" s="55" t="s">
        <v>1168</v>
      </c>
      <c r="X203" s="55" t="s">
        <v>1154</v>
      </c>
      <c r="Y203" s="55" t="s">
        <v>1206</v>
      </c>
      <c r="Z203" s="55" t="s">
        <v>1211</v>
      </c>
    </row>
    <row r="204" spans="1:26">
      <c r="A204" s="55" t="s">
        <v>748</v>
      </c>
      <c r="B204" s="55" t="s">
        <v>272</v>
      </c>
      <c r="C204" s="55" t="s">
        <v>1142</v>
      </c>
      <c r="D204" s="55" t="s">
        <v>1143</v>
      </c>
      <c r="E204" s="55" t="s">
        <v>1143</v>
      </c>
      <c r="F204" s="55" t="s">
        <v>73</v>
      </c>
      <c r="G204" s="56">
        <v>1</v>
      </c>
      <c r="H204" s="56">
        <v>1</v>
      </c>
      <c r="I204" s="56">
        <v>0</v>
      </c>
      <c r="J204" s="56">
        <v>5</v>
      </c>
      <c r="K204" s="56">
        <v>0</v>
      </c>
      <c r="L204" s="56">
        <v>107280000</v>
      </c>
      <c r="M204" s="56">
        <v>2367940.68</v>
      </c>
      <c r="N204" s="56">
        <v>47358813.6</v>
      </c>
      <c r="O204" s="56">
        <v>200</v>
      </c>
      <c r="P204" s="56">
        <v>0</v>
      </c>
      <c r="Q204" s="56">
        <v>0</v>
      </c>
      <c r="R204" s="56">
        <v>0</v>
      </c>
      <c r="S204" s="56">
        <v>0</v>
      </c>
      <c r="T204" s="55" t="s">
        <v>1157</v>
      </c>
      <c r="U204" s="55" t="s">
        <v>1165</v>
      </c>
      <c r="V204" s="55" t="s">
        <v>1153</v>
      </c>
      <c r="W204" s="55" t="s">
        <v>1147</v>
      </c>
      <c r="X204" s="55" t="s">
        <v>1154</v>
      </c>
      <c r="Y204" s="55" t="s">
        <v>1206</v>
      </c>
      <c r="Z204" s="55" t="s">
        <v>1196</v>
      </c>
    </row>
    <row r="205" spans="1:26">
      <c r="A205" s="55" t="s">
        <v>749</v>
      </c>
      <c r="B205" s="55" t="s">
        <v>546</v>
      </c>
      <c r="C205" s="55" t="s">
        <v>1151</v>
      </c>
      <c r="D205" s="55" t="s">
        <v>87</v>
      </c>
      <c r="E205" s="55" t="s">
        <v>87</v>
      </c>
      <c r="F205" s="55" t="s">
        <v>75</v>
      </c>
      <c r="G205" s="56">
        <v>5</v>
      </c>
      <c r="H205" s="56">
        <v>5</v>
      </c>
      <c r="I205" s="56">
        <v>1223</v>
      </c>
      <c r="J205" s="56">
        <v>83</v>
      </c>
      <c r="K205" s="56">
        <v>0</v>
      </c>
      <c r="L205" s="56">
        <v>98718.32000000001</v>
      </c>
      <c r="M205" s="56">
        <v>1252338.36</v>
      </c>
      <c r="N205" s="56">
        <v>818857.77</v>
      </c>
      <c r="O205" s="56">
        <v>61</v>
      </c>
      <c r="P205" s="56">
        <v>0</v>
      </c>
      <c r="Q205" s="56">
        <v>0</v>
      </c>
      <c r="R205" s="56">
        <v>1</v>
      </c>
      <c r="S205" s="56">
        <v>1</v>
      </c>
      <c r="T205" s="55" t="s">
        <v>1167</v>
      </c>
      <c r="U205" s="55" t="s">
        <v>1165</v>
      </c>
      <c r="V205" s="55" t="s">
        <v>1153</v>
      </c>
      <c r="W205" s="55" t="s">
        <v>1168</v>
      </c>
      <c r="X205" s="55" t="s">
        <v>1154</v>
      </c>
      <c r="Y205" s="55" t="s">
        <v>1206</v>
      </c>
      <c r="Z205" s="55" t="s">
        <v>1193</v>
      </c>
    </row>
    <row r="206" spans="1:26">
      <c r="A206" s="55" t="s">
        <v>750</v>
      </c>
      <c r="B206" s="55" t="s">
        <v>546</v>
      </c>
      <c r="C206" s="55" t="s">
        <v>1151</v>
      </c>
      <c r="D206" s="55" t="s">
        <v>87</v>
      </c>
      <c r="E206" s="55" t="s">
        <v>87</v>
      </c>
      <c r="F206" s="55" t="s">
        <v>75</v>
      </c>
      <c r="G206" s="56">
        <v>5</v>
      </c>
      <c r="H206" s="56">
        <v>5</v>
      </c>
      <c r="I206" s="56">
        <v>1454</v>
      </c>
      <c r="J206" s="56">
        <v>62</v>
      </c>
      <c r="K206" s="56">
        <v>0</v>
      </c>
      <c r="L206" s="56">
        <v>74798000</v>
      </c>
      <c r="M206" s="56">
        <v>862483.3199999999</v>
      </c>
      <c r="N206" s="56">
        <v>184260637.97</v>
      </c>
      <c r="O206" s="56">
        <v>153</v>
      </c>
      <c r="P206" s="56">
        <v>0</v>
      </c>
      <c r="Q206" s="56">
        <v>0</v>
      </c>
      <c r="R206" s="56">
        <v>1</v>
      </c>
      <c r="S206" s="56">
        <v>1</v>
      </c>
      <c r="T206" s="55" t="s">
        <v>1255</v>
      </c>
      <c r="U206" s="55" t="s">
        <v>1145</v>
      </c>
      <c r="V206" s="55" t="s">
        <v>1146</v>
      </c>
      <c r="W206" s="55" t="s">
        <v>1180</v>
      </c>
      <c r="X206" s="55" t="s">
        <v>1154</v>
      </c>
      <c r="Y206" s="55" t="s">
        <v>1155</v>
      </c>
      <c r="Z206" s="55" t="s">
        <v>1185</v>
      </c>
    </row>
    <row r="207" spans="1:26">
      <c r="A207" s="55" t="s">
        <v>751</v>
      </c>
      <c r="B207" s="55" t="s">
        <v>272</v>
      </c>
      <c r="C207" s="55" t="s">
        <v>1142</v>
      </c>
      <c r="D207" s="55" t="s">
        <v>1143</v>
      </c>
      <c r="E207" s="55" t="s">
        <v>1143</v>
      </c>
      <c r="F207" s="55" t="s">
        <v>73</v>
      </c>
      <c r="G207" s="56">
        <v>1</v>
      </c>
      <c r="H207" s="56">
        <v>1</v>
      </c>
      <c r="I207" s="56">
        <v>0</v>
      </c>
      <c r="J207" s="56">
        <v>9</v>
      </c>
      <c r="K207" s="56">
        <v>0</v>
      </c>
      <c r="L207" s="56">
        <v>40826000</v>
      </c>
      <c r="M207" s="56">
        <v>0</v>
      </c>
      <c r="N207" s="56">
        <v>0</v>
      </c>
      <c r="O207" s="56">
        <v>176</v>
      </c>
      <c r="P207" s="56">
        <v>0</v>
      </c>
      <c r="Q207" s="56">
        <v>0</v>
      </c>
      <c r="R207" s="56">
        <v>0</v>
      </c>
      <c r="S207" s="56">
        <v>0</v>
      </c>
      <c r="T207" s="55" t="s">
        <v>1152</v>
      </c>
      <c r="U207" s="55" t="s">
        <v>1165</v>
      </c>
      <c r="V207" s="55" t="s">
        <v>1146</v>
      </c>
      <c r="W207" s="55" t="s">
        <v>1147</v>
      </c>
      <c r="X207" s="55" t="s">
        <v>1154</v>
      </c>
      <c r="Y207" s="55" t="s">
        <v>1283</v>
      </c>
      <c r="Z207" s="55" t="s">
        <v>1185</v>
      </c>
    </row>
    <row r="208" spans="1:26">
      <c r="A208" s="55" t="s">
        <v>752</v>
      </c>
      <c r="B208" s="55" t="s">
        <v>272</v>
      </c>
      <c r="C208" s="55" t="s">
        <v>1142</v>
      </c>
      <c r="D208" s="55" t="s">
        <v>1143</v>
      </c>
      <c r="E208" s="55" t="s">
        <v>1143</v>
      </c>
      <c r="F208" s="55" t="s">
        <v>73</v>
      </c>
      <c r="G208" s="56">
        <v>1</v>
      </c>
      <c r="H208" s="56">
        <v>1</v>
      </c>
      <c r="I208" s="56">
        <v>0</v>
      </c>
      <c r="J208" s="56">
        <v>1</v>
      </c>
      <c r="K208" s="56">
        <v>0</v>
      </c>
      <c r="L208" s="56">
        <v>73010000</v>
      </c>
      <c r="M208" s="56">
        <v>293954.93</v>
      </c>
      <c r="N208" s="56">
        <v>5879098.5</v>
      </c>
      <c r="O208" s="56">
        <v>29</v>
      </c>
      <c r="P208" s="56">
        <v>0</v>
      </c>
      <c r="Q208" s="56">
        <v>0</v>
      </c>
      <c r="R208" s="56">
        <v>0</v>
      </c>
      <c r="S208" s="56">
        <v>0</v>
      </c>
      <c r="T208" s="55" t="s">
        <v>1157</v>
      </c>
      <c r="U208" s="55" t="s">
        <v>1145</v>
      </c>
      <c r="V208" s="55" t="s">
        <v>1153</v>
      </c>
      <c r="W208" s="55" t="s">
        <v>1168</v>
      </c>
      <c r="X208" s="55" t="s">
        <v>1154</v>
      </c>
      <c r="Y208" s="55" t="s">
        <v>1206</v>
      </c>
      <c r="Z208" s="55" t="s">
        <v>1185</v>
      </c>
    </row>
    <row r="209" spans="1:26">
      <c r="A209" s="55" t="s">
        <v>753</v>
      </c>
      <c r="B209" s="55" t="s">
        <v>272</v>
      </c>
      <c r="C209" s="55" t="s">
        <v>1142</v>
      </c>
      <c r="D209" s="55" t="s">
        <v>1143</v>
      </c>
      <c r="E209" s="55" t="s">
        <v>1143</v>
      </c>
      <c r="F209" s="55" t="s">
        <v>73</v>
      </c>
      <c r="G209" s="56">
        <v>1</v>
      </c>
      <c r="H209" s="56">
        <v>1</v>
      </c>
      <c r="I209" s="56">
        <v>0</v>
      </c>
      <c r="J209" s="56">
        <v>15</v>
      </c>
      <c r="K209" s="56">
        <v>0</v>
      </c>
      <c r="L209" s="56">
        <v>9969587.07</v>
      </c>
      <c r="M209" s="56">
        <v>3834247.11</v>
      </c>
      <c r="N209" s="56">
        <v>9969587.07</v>
      </c>
      <c r="O209" s="56">
        <v>18</v>
      </c>
      <c r="P209" s="56">
        <v>0</v>
      </c>
      <c r="Q209" s="56">
        <v>0</v>
      </c>
      <c r="R209" s="56">
        <v>0</v>
      </c>
      <c r="S209" s="56">
        <v>0</v>
      </c>
      <c r="T209" s="55" t="s">
        <v>1157</v>
      </c>
      <c r="U209" s="55" t="s">
        <v>1165</v>
      </c>
      <c r="V209" s="55" t="s">
        <v>1153</v>
      </c>
      <c r="W209" s="55" t="s">
        <v>1180</v>
      </c>
      <c r="X209" s="55" t="s">
        <v>1154</v>
      </c>
      <c r="Y209" s="55" t="s">
        <v>1206</v>
      </c>
      <c r="Z209" s="55" t="s">
        <v>1185</v>
      </c>
    </row>
    <row r="210" spans="1:26">
      <c r="A210" s="55" t="s">
        <v>754</v>
      </c>
      <c r="B210" s="55" t="s">
        <v>272</v>
      </c>
      <c r="C210" s="55" t="s">
        <v>1142</v>
      </c>
      <c r="D210" s="55" t="s">
        <v>1143</v>
      </c>
      <c r="E210" s="55" t="s">
        <v>1143</v>
      </c>
      <c r="F210" s="55" t="s">
        <v>73</v>
      </c>
      <c r="G210" s="56">
        <v>1</v>
      </c>
      <c r="H210" s="56">
        <v>1</v>
      </c>
      <c r="I210" s="56">
        <v>0</v>
      </c>
      <c r="J210" s="56">
        <v>2</v>
      </c>
      <c r="K210" s="56">
        <v>0</v>
      </c>
      <c r="L210" s="56">
        <v>22350000</v>
      </c>
      <c r="M210" s="56">
        <v>120849.66</v>
      </c>
      <c r="N210" s="56">
        <v>2416993.12</v>
      </c>
      <c r="O210" s="56">
        <v>101</v>
      </c>
      <c r="P210" s="56">
        <v>0</v>
      </c>
      <c r="Q210" s="56">
        <v>0</v>
      </c>
      <c r="R210" s="56">
        <v>0</v>
      </c>
      <c r="S210" s="56">
        <v>0</v>
      </c>
      <c r="T210" s="55" t="s">
        <v>1152</v>
      </c>
      <c r="U210" s="55" t="s">
        <v>1165</v>
      </c>
      <c r="V210" s="55" t="s">
        <v>1153</v>
      </c>
      <c r="W210" s="55" t="s">
        <v>1158</v>
      </c>
      <c r="X210" s="55" t="s">
        <v>1154</v>
      </c>
      <c r="Y210" s="55" t="s">
        <v>1206</v>
      </c>
      <c r="Z210" s="55" t="s">
        <v>1166</v>
      </c>
    </row>
    <row r="211" spans="1:26">
      <c r="A211" s="55" t="s">
        <v>755</v>
      </c>
      <c r="B211" s="55" t="s">
        <v>272</v>
      </c>
      <c r="C211" s="55" t="s">
        <v>1142</v>
      </c>
      <c r="D211" s="55" t="s">
        <v>1143</v>
      </c>
      <c r="E211" s="55" t="s">
        <v>1143</v>
      </c>
      <c r="F211" s="55" t="s">
        <v>73</v>
      </c>
      <c r="G211" s="56">
        <v>1</v>
      </c>
      <c r="H211" s="56">
        <v>1</v>
      </c>
      <c r="I211" s="56">
        <v>0</v>
      </c>
      <c r="J211" s="56">
        <v>1</v>
      </c>
      <c r="K211" s="56">
        <v>0</v>
      </c>
      <c r="L211" s="56">
        <v>7450000</v>
      </c>
      <c r="M211" s="56">
        <v>0</v>
      </c>
      <c r="N211" s="56">
        <v>0</v>
      </c>
      <c r="O211" s="56">
        <v>3</v>
      </c>
      <c r="P211" s="56">
        <v>0</v>
      </c>
      <c r="Q211" s="56">
        <v>0</v>
      </c>
      <c r="R211" s="56">
        <v>0</v>
      </c>
      <c r="S211" s="56">
        <v>0</v>
      </c>
      <c r="T211" s="55" t="s">
        <v>1157</v>
      </c>
      <c r="U211" s="55" t="s">
        <v>1165</v>
      </c>
      <c r="V211" s="55" t="s">
        <v>1153</v>
      </c>
      <c r="W211" s="55" t="s">
        <v>1168</v>
      </c>
      <c r="X211" s="55" t="s">
        <v>1154</v>
      </c>
      <c r="Y211" s="55" t="s">
        <v>1206</v>
      </c>
      <c r="Z211" s="55" t="s">
        <v>1282</v>
      </c>
    </row>
    <row r="212" spans="1:26">
      <c r="A212" s="55" t="s">
        <v>756</v>
      </c>
      <c r="B212" s="55" t="s">
        <v>272</v>
      </c>
      <c r="C212" s="55" t="s">
        <v>1187</v>
      </c>
      <c r="D212" s="55" t="s">
        <v>1188</v>
      </c>
      <c r="E212" s="55" t="s">
        <v>1188</v>
      </c>
      <c r="F212" s="55" t="s">
        <v>74</v>
      </c>
      <c r="G212" s="56">
        <v>2</v>
      </c>
      <c r="H212" s="56">
        <v>2</v>
      </c>
      <c r="I212" s="56">
        <v>1</v>
      </c>
      <c r="J212" s="56">
        <v>24</v>
      </c>
      <c r="K212" s="56">
        <v>0</v>
      </c>
      <c r="L212" s="56">
        <v>555676131.5599999</v>
      </c>
      <c r="M212" s="56">
        <v>112354934.3</v>
      </c>
      <c r="N212" s="56">
        <v>3538011498.179999</v>
      </c>
      <c r="O212" s="56">
        <v>218</v>
      </c>
      <c r="P212" s="56">
        <v>0</v>
      </c>
      <c r="Q212" s="56">
        <v>0</v>
      </c>
      <c r="R212" s="56">
        <v>0</v>
      </c>
      <c r="S212" s="56">
        <v>1</v>
      </c>
      <c r="T212" s="55" t="s">
        <v>1157</v>
      </c>
      <c r="U212" s="55" t="s">
        <v>1145</v>
      </c>
      <c r="V212" s="55" t="s">
        <v>1153</v>
      </c>
      <c r="W212" s="55" t="s">
        <v>1147</v>
      </c>
      <c r="X212" s="55" t="s">
        <v>1154</v>
      </c>
      <c r="Y212" s="55" t="s">
        <v>1206</v>
      </c>
      <c r="Z212" s="55" t="s">
        <v>1185</v>
      </c>
    </row>
    <row r="213" spans="1:26">
      <c r="A213" s="55" t="s">
        <v>757</v>
      </c>
      <c r="B213" s="55" t="s">
        <v>272</v>
      </c>
      <c r="C213" s="55" t="s">
        <v>1142</v>
      </c>
      <c r="D213" s="55" t="s">
        <v>1143</v>
      </c>
      <c r="E213" s="55" t="s">
        <v>1143</v>
      </c>
      <c r="F213" s="55" t="s">
        <v>73</v>
      </c>
      <c r="G213" s="56">
        <v>1</v>
      </c>
      <c r="H213" s="56">
        <v>1</v>
      </c>
      <c r="I213" s="56">
        <v>0</v>
      </c>
      <c r="J213" s="56">
        <v>12</v>
      </c>
      <c r="K213" s="56">
        <v>0</v>
      </c>
      <c r="L213" s="56">
        <v>216053.68</v>
      </c>
      <c r="M213" s="56">
        <v>701951.3100000001</v>
      </c>
      <c r="N213" s="56">
        <v>216053.68</v>
      </c>
      <c r="O213" s="56">
        <v>35</v>
      </c>
      <c r="P213" s="56">
        <v>0</v>
      </c>
      <c r="Q213" s="56">
        <v>0</v>
      </c>
      <c r="R213" s="56">
        <v>0</v>
      </c>
      <c r="S213" s="56">
        <v>0</v>
      </c>
      <c r="T213" s="55" t="s">
        <v>1173</v>
      </c>
      <c r="U213" s="55" t="s">
        <v>1145</v>
      </c>
      <c r="V213" s="55" t="s">
        <v>1146</v>
      </c>
      <c r="W213" s="55" t="s">
        <v>1158</v>
      </c>
      <c r="X213" s="55" t="s">
        <v>1154</v>
      </c>
      <c r="Y213" s="55" t="s">
        <v>1206</v>
      </c>
      <c r="Z213" s="55" t="s">
        <v>1230</v>
      </c>
    </row>
    <row r="214" spans="1:26">
      <c r="A214" s="55" t="s">
        <v>758</v>
      </c>
      <c r="B214" s="55" t="s">
        <v>272</v>
      </c>
      <c r="C214" s="55" t="s">
        <v>1236</v>
      </c>
      <c r="D214" s="55" t="s">
        <v>86</v>
      </c>
      <c r="E214" s="55" t="s">
        <v>86</v>
      </c>
      <c r="F214" s="55" t="s">
        <v>75</v>
      </c>
      <c r="G214" s="56">
        <v>4</v>
      </c>
      <c r="H214" s="56">
        <v>4</v>
      </c>
      <c r="I214" s="56">
        <v>141</v>
      </c>
      <c r="J214" s="56">
        <v>40</v>
      </c>
      <c r="K214" s="56">
        <v>3</v>
      </c>
      <c r="L214" s="56">
        <v>11018374.39</v>
      </c>
      <c r="M214" s="56">
        <v>5779542.29</v>
      </c>
      <c r="N214" s="56">
        <v>11018374.39</v>
      </c>
      <c r="O214" s="56">
        <v>49</v>
      </c>
      <c r="P214" s="56">
        <v>0</v>
      </c>
      <c r="Q214" s="56">
        <v>1</v>
      </c>
      <c r="R214" s="56">
        <v>1</v>
      </c>
      <c r="S214" s="56">
        <v>1</v>
      </c>
      <c r="T214" s="55" t="s">
        <v>1162</v>
      </c>
      <c r="U214" s="55" t="s">
        <v>1165</v>
      </c>
      <c r="V214" s="55" t="s">
        <v>1153</v>
      </c>
      <c r="W214" s="55" t="s">
        <v>1147</v>
      </c>
      <c r="X214" s="55" t="s">
        <v>1154</v>
      </c>
      <c r="Y214" s="55" t="s">
        <v>1206</v>
      </c>
      <c r="Z214" s="55" t="s">
        <v>1266</v>
      </c>
    </row>
    <row r="215" spans="1:26">
      <c r="A215" s="55" t="s">
        <v>759</v>
      </c>
      <c r="B215" s="55" t="s">
        <v>563</v>
      </c>
      <c r="C215" s="55" t="s">
        <v>1236</v>
      </c>
      <c r="D215" s="55" t="s">
        <v>87</v>
      </c>
      <c r="E215" s="55" t="s">
        <v>87</v>
      </c>
      <c r="F215" s="55" t="s">
        <v>75</v>
      </c>
      <c r="G215" s="56">
        <v>5</v>
      </c>
      <c r="H215" s="56">
        <v>5</v>
      </c>
      <c r="I215" s="56">
        <v>180</v>
      </c>
      <c r="J215" s="56">
        <v>35</v>
      </c>
      <c r="K215" s="56">
        <v>4</v>
      </c>
      <c r="L215" s="56">
        <v>63233900</v>
      </c>
      <c r="M215" s="56">
        <v>29528392.85</v>
      </c>
      <c r="N215" s="56">
        <v>1344967598.22</v>
      </c>
      <c r="O215" s="56">
        <v>82</v>
      </c>
      <c r="P215" s="56">
        <v>0</v>
      </c>
      <c r="Q215" s="56">
        <v>1</v>
      </c>
      <c r="R215" s="56">
        <v>1</v>
      </c>
      <c r="S215" s="56">
        <v>1</v>
      </c>
      <c r="T215" s="55" t="s">
        <v>1167</v>
      </c>
      <c r="U215" s="55" t="s">
        <v>1145</v>
      </c>
      <c r="V215" s="55" t="s">
        <v>1146</v>
      </c>
      <c r="W215" s="55" t="s">
        <v>1272</v>
      </c>
      <c r="X215" s="55" t="s">
        <v>1154</v>
      </c>
      <c r="Y215" s="55" t="s">
        <v>1199</v>
      </c>
      <c r="Z215" s="55" t="s">
        <v>1164</v>
      </c>
    </row>
    <row r="216" spans="1:26">
      <c r="A216" s="55" t="s">
        <v>760</v>
      </c>
      <c r="B216" s="55" t="s">
        <v>563</v>
      </c>
      <c r="C216" s="55" t="s">
        <v>1191</v>
      </c>
      <c r="D216" s="55" t="s">
        <v>1143</v>
      </c>
      <c r="E216" s="55" t="s">
        <v>1143</v>
      </c>
      <c r="F216" s="55" t="s">
        <v>73</v>
      </c>
      <c r="G216" s="56">
        <v>1</v>
      </c>
      <c r="H216" s="56">
        <v>1</v>
      </c>
      <c r="I216" s="56">
        <v>0</v>
      </c>
      <c r="J216" s="56">
        <v>8</v>
      </c>
      <c r="K216" s="56">
        <v>0</v>
      </c>
      <c r="L216" s="56">
        <v>406999038.68</v>
      </c>
      <c r="M216" s="56">
        <v>58674164.83</v>
      </c>
      <c r="N216" s="56">
        <v>2122011343.78</v>
      </c>
      <c r="O216" s="56">
        <v>240</v>
      </c>
      <c r="P216" s="56">
        <v>0</v>
      </c>
      <c r="Q216" s="56">
        <v>0</v>
      </c>
      <c r="R216" s="56">
        <v>0</v>
      </c>
      <c r="S216" s="56">
        <v>0</v>
      </c>
      <c r="T216" s="55" t="s">
        <v>1167</v>
      </c>
      <c r="U216" s="55" t="s">
        <v>1145</v>
      </c>
      <c r="V216" s="55" t="s">
        <v>1153</v>
      </c>
      <c r="W216" s="55" t="s">
        <v>1147</v>
      </c>
      <c r="X216" s="55" t="s">
        <v>1154</v>
      </c>
      <c r="Y216" s="55" t="s">
        <v>1210</v>
      </c>
      <c r="Z216" s="55" t="s">
        <v>1238</v>
      </c>
    </row>
    <row r="217" spans="1:26">
      <c r="A217" s="55" t="s">
        <v>761</v>
      </c>
      <c r="B217" s="55" t="s">
        <v>272</v>
      </c>
      <c r="C217" s="55" t="s">
        <v>1142</v>
      </c>
      <c r="D217" s="55" t="s">
        <v>1143</v>
      </c>
      <c r="E217" s="55" t="s">
        <v>1143</v>
      </c>
      <c r="F217" s="55" t="s">
        <v>73</v>
      </c>
      <c r="G217" s="56">
        <v>1</v>
      </c>
      <c r="H217" s="56">
        <v>1</v>
      </c>
      <c r="I217" s="56">
        <v>0</v>
      </c>
      <c r="J217" s="56">
        <v>5</v>
      </c>
      <c r="K217" s="56">
        <v>0</v>
      </c>
      <c r="L217" s="56">
        <v>159430000</v>
      </c>
      <c r="M217" s="56">
        <v>395125.37</v>
      </c>
      <c r="N217" s="56">
        <v>7902507.36</v>
      </c>
      <c r="O217" s="56">
        <v>25</v>
      </c>
      <c r="P217" s="56">
        <v>0</v>
      </c>
      <c r="Q217" s="56">
        <v>0</v>
      </c>
      <c r="R217" s="56">
        <v>0</v>
      </c>
      <c r="S217" s="56">
        <v>0</v>
      </c>
      <c r="T217" s="55" t="s">
        <v>1157</v>
      </c>
      <c r="U217" s="55" t="s">
        <v>1145</v>
      </c>
      <c r="V217" s="55" t="s">
        <v>1153</v>
      </c>
      <c r="W217" s="55" t="s">
        <v>1147</v>
      </c>
      <c r="X217" s="55" t="s">
        <v>1251</v>
      </c>
      <c r="Y217" s="55" t="s">
        <v>1206</v>
      </c>
      <c r="Z217" s="55" t="s">
        <v>1185</v>
      </c>
    </row>
    <row r="218" spans="1:26">
      <c r="A218" s="55" t="s">
        <v>762</v>
      </c>
      <c r="B218" s="55" t="s">
        <v>272</v>
      </c>
      <c r="C218" s="55" t="s">
        <v>1142</v>
      </c>
      <c r="D218" s="55" t="s">
        <v>1143</v>
      </c>
      <c r="E218" s="55" t="s">
        <v>1143</v>
      </c>
      <c r="F218" s="55" t="s">
        <v>73</v>
      </c>
      <c r="G218" s="56">
        <v>1</v>
      </c>
      <c r="H218" s="56">
        <v>1</v>
      </c>
      <c r="I218" s="56">
        <v>0</v>
      </c>
      <c r="J218" s="56">
        <v>5</v>
      </c>
      <c r="K218" s="56">
        <v>0</v>
      </c>
      <c r="L218" s="56">
        <v>14987010</v>
      </c>
      <c r="M218" s="56">
        <v>1352013.19</v>
      </c>
      <c r="N218" s="56">
        <v>20044961.76</v>
      </c>
      <c r="O218" s="56">
        <v>34</v>
      </c>
      <c r="P218" s="56">
        <v>0</v>
      </c>
      <c r="Q218" s="56">
        <v>0</v>
      </c>
      <c r="R218" s="56">
        <v>0</v>
      </c>
      <c r="S218" s="56">
        <v>0</v>
      </c>
      <c r="T218" s="55" t="s">
        <v>1167</v>
      </c>
      <c r="U218" s="55" t="s">
        <v>1145</v>
      </c>
      <c r="V218" s="55" t="s">
        <v>1153</v>
      </c>
      <c r="W218" s="55" t="s">
        <v>1147</v>
      </c>
      <c r="X218" s="55" t="s">
        <v>1154</v>
      </c>
      <c r="Y218" s="55" t="s">
        <v>1206</v>
      </c>
      <c r="Z218" s="55" t="s">
        <v>1257</v>
      </c>
    </row>
    <row r="219" spans="1:26">
      <c r="A219" s="55" t="s">
        <v>763</v>
      </c>
      <c r="B219" s="55" t="s">
        <v>272</v>
      </c>
      <c r="C219" s="55" t="s">
        <v>1142</v>
      </c>
      <c r="D219" s="55" t="s">
        <v>1143</v>
      </c>
      <c r="E219" s="55" t="s">
        <v>1143</v>
      </c>
      <c r="F219" s="55" t="s">
        <v>73</v>
      </c>
      <c r="G219" s="56">
        <v>1</v>
      </c>
      <c r="H219" s="56">
        <v>1</v>
      </c>
      <c r="I219" s="56">
        <v>0</v>
      </c>
      <c r="J219" s="56">
        <v>5</v>
      </c>
      <c r="K219" s="56">
        <v>0</v>
      </c>
      <c r="L219" s="56">
        <v>0</v>
      </c>
      <c r="M219" s="56">
        <v>2592536.45</v>
      </c>
      <c r="N219" s="56">
        <v>18176874.93</v>
      </c>
      <c r="O219" s="56">
        <v>70</v>
      </c>
      <c r="P219" s="56">
        <v>1</v>
      </c>
      <c r="Q219" s="56">
        <v>0</v>
      </c>
      <c r="R219" s="56">
        <v>0</v>
      </c>
      <c r="S219" s="56">
        <v>0</v>
      </c>
      <c r="T219" s="55" t="s">
        <v>1144</v>
      </c>
      <c r="U219" s="55" t="s">
        <v>1165</v>
      </c>
      <c r="V219" s="55" t="s">
        <v>1146</v>
      </c>
      <c r="W219" s="55" t="s">
        <v>1158</v>
      </c>
      <c r="X219" s="55" t="s">
        <v>1148</v>
      </c>
      <c r="Y219" s="55" t="s">
        <v>1206</v>
      </c>
      <c r="Z219" s="55" t="s">
        <v>1156</v>
      </c>
    </row>
    <row r="220" spans="1:26">
      <c r="A220" s="55" t="s">
        <v>764</v>
      </c>
      <c r="B220" s="55" t="s">
        <v>272</v>
      </c>
      <c r="C220" s="55" t="s">
        <v>1142</v>
      </c>
      <c r="D220" s="55" t="s">
        <v>1143</v>
      </c>
      <c r="E220" s="55" t="s">
        <v>1143</v>
      </c>
      <c r="F220" s="55" t="s">
        <v>73</v>
      </c>
      <c r="G220" s="56">
        <v>1</v>
      </c>
      <c r="H220" s="56">
        <v>1</v>
      </c>
      <c r="I220" s="56">
        <v>0</v>
      </c>
      <c r="J220" s="56">
        <v>7</v>
      </c>
      <c r="K220" s="56">
        <v>0</v>
      </c>
      <c r="L220" s="56">
        <v>336740000</v>
      </c>
      <c r="M220" s="56">
        <v>34071.75</v>
      </c>
      <c r="N220" s="56">
        <v>681435</v>
      </c>
      <c r="O220" s="56">
        <v>203</v>
      </c>
      <c r="P220" s="56">
        <v>0</v>
      </c>
      <c r="Q220" s="56">
        <v>0</v>
      </c>
      <c r="R220" s="56">
        <v>0</v>
      </c>
      <c r="S220" s="56">
        <v>0</v>
      </c>
      <c r="T220" s="55" t="s">
        <v>1157</v>
      </c>
      <c r="U220" s="55" t="s">
        <v>1165</v>
      </c>
      <c r="V220" s="55" t="s">
        <v>1153</v>
      </c>
      <c r="W220" s="55" t="s">
        <v>1168</v>
      </c>
      <c r="X220" s="55" t="s">
        <v>1154</v>
      </c>
      <c r="Y220" s="55" t="s">
        <v>1210</v>
      </c>
      <c r="Z220" s="55" t="s">
        <v>1254</v>
      </c>
    </row>
    <row r="221" spans="1:26">
      <c r="A221" s="55" t="s">
        <v>765</v>
      </c>
      <c r="B221" s="55" t="s">
        <v>272</v>
      </c>
      <c r="C221" s="55" t="s">
        <v>1142</v>
      </c>
      <c r="D221" s="55" t="s">
        <v>1143</v>
      </c>
      <c r="E221" s="55" t="s">
        <v>1143</v>
      </c>
      <c r="F221" s="55" t="s">
        <v>73</v>
      </c>
      <c r="G221" s="56">
        <v>1</v>
      </c>
      <c r="H221" s="56">
        <v>1</v>
      </c>
      <c r="I221" s="56">
        <v>0</v>
      </c>
      <c r="J221" s="56">
        <v>41</v>
      </c>
      <c r="K221" s="56">
        <v>0</v>
      </c>
      <c r="L221" s="56">
        <v>8346295.46</v>
      </c>
      <c r="M221" s="56">
        <v>2570459.25</v>
      </c>
      <c r="N221" s="56">
        <v>17590646.18</v>
      </c>
      <c r="O221" s="56">
        <v>36</v>
      </c>
      <c r="P221" s="56">
        <v>0</v>
      </c>
      <c r="Q221" s="56">
        <v>0</v>
      </c>
      <c r="R221" s="56">
        <v>0</v>
      </c>
      <c r="S221" s="56">
        <v>0</v>
      </c>
      <c r="T221" s="55" t="s">
        <v>1162</v>
      </c>
      <c r="U221" s="55" t="s">
        <v>1165</v>
      </c>
      <c r="V221" s="55" t="s">
        <v>1153</v>
      </c>
      <c r="W221" s="55" t="s">
        <v>1147</v>
      </c>
      <c r="X221" s="55" t="s">
        <v>1154</v>
      </c>
      <c r="Y221" s="55" t="s">
        <v>1206</v>
      </c>
      <c r="Z221" s="55" t="s">
        <v>1185</v>
      </c>
    </row>
    <row r="222" spans="1:26">
      <c r="A222" s="55" t="s">
        <v>766</v>
      </c>
      <c r="B222" s="55" t="s">
        <v>272</v>
      </c>
      <c r="C222" s="55" t="s">
        <v>1142</v>
      </c>
      <c r="D222" s="55" t="s">
        <v>1143</v>
      </c>
      <c r="E222" s="55" t="s">
        <v>1143</v>
      </c>
      <c r="F222" s="55" t="s">
        <v>73</v>
      </c>
      <c r="G222" s="56">
        <v>1</v>
      </c>
      <c r="H222" s="56">
        <v>1</v>
      </c>
      <c r="I222" s="56">
        <v>0</v>
      </c>
      <c r="J222" s="56">
        <v>3</v>
      </c>
      <c r="K222" s="56">
        <v>0</v>
      </c>
      <c r="L222" s="56">
        <v>190720000</v>
      </c>
      <c r="M222" s="56">
        <v>487931.44</v>
      </c>
      <c r="N222" s="56">
        <v>9758628.810000001</v>
      </c>
      <c r="O222" s="56">
        <v>144</v>
      </c>
      <c r="P222" s="56">
        <v>0</v>
      </c>
      <c r="Q222" s="56">
        <v>0</v>
      </c>
      <c r="R222" s="56">
        <v>0</v>
      </c>
      <c r="S222" s="56">
        <v>0</v>
      </c>
      <c r="T222" s="55" t="s">
        <v>1152</v>
      </c>
      <c r="U222" s="55" t="s">
        <v>1165</v>
      </c>
      <c r="V222" s="55" t="s">
        <v>1146</v>
      </c>
      <c r="W222" s="55" t="s">
        <v>1168</v>
      </c>
      <c r="X222" s="55" t="s">
        <v>1148</v>
      </c>
      <c r="Y222" s="55" t="s">
        <v>1210</v>
      </c>
      <c r="Z222" s="55" t="s">
        <v>1196</v>
      </c>
    </row>
    <row r="223" spans="1:26">
      <c r="A223" s="55" t="s">
        <v>767</v>
      </c>
      <c r="B223" s="55" t="s">
        <v>272</v>
      </c>
      <c r="C223" s="55" t="s">
        <v>1142</v>
      </c>
      <c r="D223" s="55" t="s">
        <v>1143</v>
      </c>
      <c r="E223" s="55" t="s">
        <v>1143</v>
      </c>
      <c r="F223" s="55" t="s">
        <v>73</v>
      </c>
      <c r="G223" s="56">
        <v>1</v>
      </c>
      <c r="H223" s="56">
        <v>1</v>
      </c>
      <c r="I223" s="56">
        <v>0</v>
      </c>
      <c r="J223" s="56">
        <v>16</v>
      </c>
      <c r="K223" s="56">
        <v>0</v>
      </c>
      <c r="L223" s="56">
        <v>60223457.9</v>
      </c>
      <c r="M223" s="56">
        <v>733627.84</v>
      </c>
      <c r="N223" s="56">
        <v>623457.9</v>
      </c>
      <c r="O223" s="56">
        <v>53</v>
      </c>
      <c r="P223" s="56">
        <v>0</v>
      </c>
      <c r="Q223" s="56">
        <v>0</v>
      </c>
      <c r="R223" s="56">
        <v>0</v>
      </c>
      <c r="S223" s="56">
        <v>0</v>
      </c>
      <c r="T223" s="55" t="s">
        <v>1227</v>
      </c>
      <c r="U223" s="55" t="s">
        <v>1165</v>
      </c>
      <c r="V223" s="55" t="s">
        <v>1146</v>
      </c>
      <c r="Z223" s="55" t="s">
        <v>1156</v>
      </c>
    </row>
    <row r="224" spans="1:26">
      <c r="A224" s="55" t="s">
        <v>768</v>
      </c>
      <c r="B224" s="55" t="s">
        <v>272</v>
      </c>
      <c r="C224" s="55" t="s">
        <v>1187</v>
      </c>
      <c r="D224" s="55" t="s">
        <v>1188</v>
      </c>
      <c r="E224" s="55" t="s">
        <v>1188</v>
      </c>
      <c r="F224" s="55" t="s">
        <v>74</v>
      </c>
      <c r="G224" s="56">
        <v>2</v>
      </c>
      <c r="H224" s="56">
        <v>2</v>
      </c>
      <c r="I224" s="56">
        <v>0</v>
      </c>
      <c r="J224" s="56">
        <v>4</v>
      </c>
      <c r="K224" s="56">
        <v>1</v>
      </c>
      <c r="L224" s="56">
        <v>53640000</v>
      </c>
      <c r="M224" s="56">
        <v>1003554.82</v>
      </c>
      <c r="N224" s="56">
        <v>20071096.46</v>
      </c>
      <c r="O224" s="56">
        <v>106</v>
      </c>
      <c r="P224" s="56">
        <v>0</v>
      </c>
      <c r="Q224" s="56">
        <v>0</v>
      </c>
      <c r="R224" s="56">
        <v>0</v>
      </c>
      <c r="S224" s="56">
        <v>0</v>
      </c>
      <c r="T224" s="55" t="s">
        <v>1167</v>
      </c>
      <c r="U224" s="55" t="s">
        <v>1165</v>
      </c>
      <c r="V224" s="55" t="s">
        <v>1153</v>
      </c>
      <c r="W224" s="55" t="s">
        <v>1147</v>
      </c>
      <c r="X224" s="55" t="s">
        <v>1154</v>
      </c>
      <c r="Y224" s="55" t="s">
        <v>1206</v>
      </c>
      <c r="Z224" s="55" t="s">
        <v>1196</v>
      </c>
    </row>
    <row r="225" spans="1:26">
      <c r="A225" s="55" t="s">
        <v>769</v>
      </c>
      <c r="B225" s="55" t="s">
        <v>272</v>
      </c>
      <c r="C225" s="55" t="s">
        <v>1142</v>
      </c>
      <c r="D225" s="55" t="s">
        <v>1143</v>
      </c>
      <c r="E225" s="55" t="s">
        <v>1143</v>
      </c>
      <c r="F225" s="55" t="s">
        <v>73</v>
      </c>
      <c r="G225" s="56">
        <v>1</v>
      </c>
      <c r="H225" s="56">
        <v>1</v>
      </c>
      <c r="I225" s="56">
        <v>0</v>
      </c>
      <c r="J225" s="56">
        <v>5</v>
      </c>
      <c r="K225" s="56">
        <v>0</v>
      </c>
      <c r="L225" s="56">
        <v>14900000</v>
      </c>
      <c r="M225" s="56">
        <v>5270119.9</v>
      </c>
      <c r="N225" s="56">
        <v>202029573.36</v>
      </c>
      <c r="O225" s="56">
        <v>115</v>
      </c>
      <c r="P225" s="56">
        <v>0</v>
      </c>
      <c r="Q225" s="56">
        <v>0</v>
      </c>
      <c r="R225" s="56">
        <v>0</v>
      </c>
      <c r="S225" s="56">
        <v>0</v>
      </c>
      <c r="T225" s="55" t="s">
        <v>1167</v>
      </c>
      <c r="U225" s="55" t="s">
        <v>1165</v>
      </c>
      <c r="V225" s="55" t="s">
        <v>1146</v>
      </c>
      <c r="W225" s="55" t="s">
        <v>1147</v>
      </c>
      <c r="X225" s="55" t="s">
        <v>1154</v>
      </c>
      <c r="Y225" s="55" t="s">
        <v>1253</v>
      </c>
      <c r="Z225" s="55" t="s">
        <v>1161</v>
      </c>
    </row>
    <row r="226" spans="1:26">
      <c r="A226" s="55" t="s">
        <v>770</v>
      </c>
      <c r="B226" s="55" t="s">
        <v>272</v>
      </c>
      <c r="C226" s="55" t="s">
        <v>1142</v>
      </c>
      <c r="D226" s="55" t="s">
        <v>1143</v>
      </c>
      <c r="E226" s="55" t="s">
        <v>1143</v>
      </c>
      <c r="F226" s="55" t="s">
        <v>73</v>
      </c>
      <c r="G226" s="56">
        <v>1</v>
      </c>
      <c r="H226" s="56">
        <v>1</v>
      </c>
      <c r="I226" s="56">
        <v>0</v>
      </c>
      <c r="J226" s="56">
        <v>6</v>
      </c>
      <c r="K226" s="56">
        <v>0</v>
      </c>
      <c r="L226" s="56">
        <v>804187.8</v>
      </c>
      <c r="M226" s="56">
        <v>3817110.25</v>
      </c>
      <c r="N226" s="56">
        <v>580853770.8</v>
      </c>
      <c r="O226" s="56">
        <v>18</v>
      </c>
      <c r="P226" s="56">
        <v>0</v>
      </c>
      <c r="Q226" s="56">
        <v>0</v>
      </c>
      <c r="R226" s="56">
        <v>0</v>
      </c>
      <c r="S226" s="56">
        <v>0</v>
      </c>
      <c r="T226" s="55" t="s">
        <v>1157</v>
      </c>
      <c r="U226" s="55" t="s">
        <v>1145</v>
      </c>
      <c r="V226" s="55" t="s">
        <v>1153</v>
      </c>
      <c r="W226" s="55" t="s">
        <v>1180</v>
      </c>
      <c r="X226" s="55" t="s">
        <v>1159</v>
      </c>
      <c r="Y226" s="55" t="s">
        <v>1206</v>
      </c>
      <c r="Z226" s="55" t="s">
        <v>1268</v>
      </c>
    </row>
    <row r="227" spans="1:26">
      <c r="A227" s="55" t="s">
        <v>771</v>
      </c>
      <c r="B227" s="55" t="s">
        <v>272</v>
      </c>
      <c r="C227" s="55" t="s">
        <v>1142</v>
      </c>
      <c r="D227" s="55" t="s">
        <v>1143</v>
      </c>
      <c r="E227" s="55" t="s">
        <v>1143</v>
      </c>
      <c r="F227" s="55" t="s">
        <v>73</v>
      </c>
      <c r="G227" s="56">
        <v>1</v>
      </c>
      <c r="H227" s="56">
        <v>1</v>
      </c>
      <c r="I227" s="56">
        <v>0</v>
      </c>
      <c r="J227" s="56">
        <v>4</v>
      </c>
      <c r="K227" s="56">
        <v>0</v>
      </c>
      <c r="L227" s="56">
        <v>50660000</v>
      </c>
      <c r="M227" s="56">
        <v>1571808.82</v>
      </c>
      <c r="N227" s="56">
        <v>31436176.32</v>
      </c>
      <c r="O227" s="56">
        <v>185</v>
      </c>
      <c r="P227" s="56">
        <v>0</v>
      </c>
      <c r="Q227" s="56">
        <v>0</v>
      </c>
      <c r="R227" s="56">
        <v>0</v>
      </c>
      <c r="S227" s="56">
        <v>0</v>
      </c>
      <c r="T227" s="55" t="s">
        <v>1173</v>
      </c>
      <c r="U227" s="55" t="s">
        <v>1165</v>
      </c>
      <c r="V227" s="55" t="s">
        <v>1146</v>
      </c>
      <c r="W227" s="55" t="s">
        <v>1181</v>
      </c>
      <c r="X227" s="55" t="s">
        <v>1154</v>
      </c>
      <c r="Y227" s="55" t="s">
        <v>1206</v>
      </c>
      <c r="Z227" s="55" t="s">
        <v>1164</v>
      </c>
    </row>
    <row r="228" spans="1:26">
      <c r="A228" s="55" t="s">
        <v>772</v>
      </c>
      <c r="B228" s="55" t="s">
        <v>272</v>
      </c>
      <c r="C228" s="55" t="s">
        <v>1142</v>
      </c>
      <c r="D228" s="55" t="s">
        <v>1143</v>
      </c>
      <c r="E228" s="55" t="s">
        <v>1143</v>
      </c>
      <c r="F228" s="55" t="s">
        <v>73</v>
      </c>
      <c r="G228" s="56">
        <v>1</v>
      </c>
      <c r="H228" s="56">
        <v>1</v>
      </c>
      <c r="I228" s="56">
        <v>0</v>
      </c>
      <c r="J228" s="56">
        <v>1</v>
      </c>
      <c r="K228" s="56">
        <v>0</v>
      </c>
      <c r="L228" s="56">
        <v>29800000</v>
      </c>
      <c r="M228" s="56">
        <v>511167.57</v>
      </c>
      <c r="N228" s="56">
        <v>10223351.46</v>
      </c>
      <c r="O228" s="56">
        <v>62</v>
      </c>
      <c r="P228" s="56">
        <v>0</v>
      </c>
      <c r="Q228" s="56">
        <v>0</v>
      </c>
      <c r="R228" s="56">
        <v>0</v>
      </c>
      <c r="S228" s="56">
        <v>0</v>
      </c>
      <c r="T228" s="55" t="s">
        <v>1162</v>
      </c>
      <c r="U228" s="55" t="s">
        <v>1165</v>
      </c>
      <c r="V228" s="55" t="s">
        <v>1153</v>
      </c>
      <c r="W228" s="55" t="s">
        <v>1180</v>
      </c>
      <c r="X228" s="55" t="s">
        <v>1154</v>
      </c>
      <c r="Y228" s="55" t="s">
        <v>1206</v>
      </c>
      <c r="Z228" s="55" t="s">
        <v>1166</v>
      </c>
    </row>
    <row r="229" spans="1:26">
      <c r="A229" s="55" t="s">
        <v>773</v>
      </c>
      <c r="B229" s="55" t="s">
        <v>272</v>
      </c>
      <c r="C229" s="55" t="s">
        <v>1142</v>
      </c>
      <c r="D229" s="55" t="s">
        <v>1143</v>
      </c>
      <c r="E229" s="55" t="s">
        <v>1143</v>
      </c>
      <c r="F229" s="55" t="s">
        <v>73</v>
      </c>
      <c r="G229" s="56">
        <v>1</v>
      </c>
      <c r="H229" s="56">
        <v>1</v>
      </c>
      <c r="I229" s="56">
        <v>0</v>
      </c>
      <c r="J229" s="56">
        <v>1</v>
      </c>
      <c r="K229" s="56">
        <v>0</v>
      </c>
      <c r="L229" s="56">
        <v>74500000</v>
      </c>
      <c r="M229" s="56">
        <v>313020.51</v>
      </c>
      <c r="N229" s="56">
        <v>6260410.24</v>
      </c>
      <c r="O229" s="56">
        <v>57</v>
      </c>
      <c r="P229" s="56">
        <v>0</v>
      </c>
      <c r="Q229" s="56">
        <v>0</v>
      </c>
      <c r="R229" s="56">
        <v>0</v>
      </c>
      <c r="S229" s="56">
        <v>0</v>
      </c>
      <c r="T229" s="55" t="s">
        <v>1152</v>
      </c>
      <c r="U229" s="55" t="s">
        <v>1165</v>
      </c>
      <c r="V229" s="55" t="s">
        <v>1146</v>
      </c>
      <c r="W229" s="55" t="s">
        <v>1147</v>
      </c>
      <c r="X229" s="55" t="s">
        <v>1218</v>
      </c>
      <c r="Y229" s="55" t="s">
        <v>1155</v>
      </c>
      <c r="Z229" s="55" t="s">
        <v>1264</v>
      </c>
    </row>
    <row r="230" spans="1:26">
      <c r="A230" s="55" t="s">
        <v>774</v>
      </c>
      <c r="B230" s="55" t="s">
        <v>272</v>
      </c>
      <c r="C230" s="55" t="s">
        <v>1142</v>
      </c>
      <c r="D230" s="55" t="s">
        <v>1143</v>
      </c>
      <c r="E230" s="55" t="s">
        <v>1143</v>
      </c>
      <c r="F230" s="55" t="s">
        <v>73</v>
      </c>
      <c r="G230" s="56">
        <v>1</v>
      </c>
      <c r="H230" s="56">
        <v>1</v>
      </c>
      <c r="I230" s="56">
        <v>0</v>
      </c>
      <c r="J230" s="56">
        <v>1</v>
      </c>
      <c r="K230" s="56">
        <v>0</v>
      </c>
      <c r="L230" s="56">
        <v>0</v>
      </c>
      <c r="M230" s="56">
        <v>1110705.8</v>
      </c>
      <c r="N230" s="56">
        <v>0</v>
      </c>
      <c r="O230" s="56">
        <v>19</v>
      </c>
      <c r="P230" s="56">
        <v>1</v>
      </c>
      <c r="Q230" s="56">
        <v>0</v>
      </c>
      <c r="R230" s="56">
        <v>0</v>
      </c>
      <c r="S230" s="56">
        <v>0</v>
      </c>
      <c r="T230" s="55" t="s">
        <v>1157</v>
      </c>
      <c r="U230" s="55" t="s">
        <v>1145</v>
      </c>
      <c r="V230" s="55" t="s">
        <v>1153</v>
      </c>
      <c r="W230" s="55" t="s">
        <v>1147</v>
      </c>
      <c r="X230" s="55" t="s">
        <v>1154</v>
      </c>
      <c r="Y230" s="55" t="s">
        <v>1155</v>
      </c>
      <c r="Z230" s="55" t="s">
        <v>1179</v>
      </c>
    </row>
    <row r="231" spans="1:26">
      <c r="A231" s="55" t="s">
        <v>775</v>
      </c>
      <c r="B231" s="55" t="s">
        <v>272</v>
      </c>
      <c r="C231" s="55" t="s">
        <v>1142</v>
      </c>
      <c r="D231" s="55" t="s">
        <v>1143</v>
      </c>
      <c r="E231" s="55" t="s">
        <v>1143</v>
      </c>
      <c r="F231" s="55" t="s">
        <v>73</v>
      </c>
      <c r="G231" s="56">
        <v>1</v>
      </c>
      <c r="H231" s="56">
        <v>1</v>
      </c>
      <c r="I231" s="56">
        <v>0</v>
      </c>
      <c r="J231" s="56">
        <v>23</v>
      </c>
      <c r="K231" s="56">
        <v>0</v>
      </c>
      <c r="L231" s="56">
        <v>1465560.01</v>
      </c>
      <c r="M231" s="56">
        <v>6290344.45</v>
      </c>
      <c r="N231" s="56">
        <v>427126167.61</v>
      </c>
      <c r="O231" s="56">
        <v>61</v>
      </c>
      <c r="P231" s="56">
        <v>0</v>
      </c>
      <c r="Q231" s="56">
        <v>0</v>
      </c>
      <c r="R231" s="56">
        <v>0</v>
      </c>
      <c r="S231" s="56">
        <v>0</v>
      </c>
      <c r="T231" s="55" t="s">
        <v>1157</v>
      </c>
      <c r="U231" s="55" t="s">
        <v>1145</v>
      </c>
      <c r="V231" s="55" t="s">
        <v>1153</v>
      </c>
      <c r="W231" s="55" t="s">
        <v>1147</v>
      </c>
      <c r="X231" s="55" t="s">
        <v>1154</v>
      </c>
      <c r="Y231" s="55" t="s">
        <v>1284</v>
      </c>
      <c r="Z231" s="55" t="s">
        <v>1166</v>
      </c>
    </row>
    <row r="232" spans="1:26">
      <c r="A232" s="55" t="s">
        <v>776</v>
      </c>
      <c r="B232" s="55" t="s">
        <v>272</v>
      </c>
      <c r="C232" s="55" t="s">
        <v>1142</v>
      </c>
      <c r="D232" s="55" t="s">
        <v>1143</v>
      </c>
      <c r="E232" s="55" t="s">
        <v>1143</v>
      </c>
      <c r="F232" s="55" t="s">
        <v>73</v>
      </c>
      <c r="G232" s="56">
        <v>1</v>
      </c>
      <c r="H232" s="56">
        <v>1</v>
      </c>
      <c r="I232" s="56">
        <v>0</v>
      </c>
      <c r="J232" s="56">
        <v>1</v>
      </c>
      <c r="K232" s="56">
        <v>0</v>
      </c>
      <c r="L232" s="56">
        <v>29800000</v>
      </c>
      <c r="M232" s="56">
        <v>533354.9300000001</v>
      </c>
      <c r="N232" s="56">
        <v>10667098.56</v>
      </c>
      <c r="O232" s="56">
        <v>8</v>
      </c>
      <c r="P232" s="56">
        <v>0</v>
      </c>
      <c r="Q232" s="56">
        <v>0</v>
      </c>
      <c r="R232" s="56">
        <v>0</v>
      </c>
      <c r="S232" s="56">
        <v>0</v>
      </c>
      <c r="T232" s="55" t="s">
        <v>1162</v>
      </c>
      <c r="U232" s="55" t="s">
        <v>1145</v>
      </c>
      <c r="V232" s="55" t="s">
        <v>1153</v>
      </c>
      <c r="W232" s="55" t="s">
        <v>1168</v>
      </c>
      <c r="X232" s="55" t="s">
        <v>1154</v>
      </c>
      <c r="Y232" s="55" t="s">
        <v>1283</v>
      </c>
      <c r="Z232" s="55" t="s">
        <v>1166</v>
      </c>
    </row>
    <row r="233" spans="1:26">
      <c r="A233" s="55" t="s">
        <v>777</v>
      </c>
      <c r="B233" s="55" t="s">
        <v>272</v>
      </c>
      <c r="C233" s="55" t="s">
        <v>1142</v>
      </c>
      <c r="D233" s="55" t="s">
        <v>1143</v>
      </c>
      <c r="E233" s="55" t="s">
        <v>1143</v>
      </c>
      <c r="F233" s="55" t="s">
        <v>73</v>
      </c>
      <c r="G233" s="56">
        <v>1</v>
      </c>
      <c r="H233" s="56">
        <v>1</v>
      </c>
      <c r="I233" s="56">
        <v>0</v>
      </c>
      <c r="J233" s="56">
        <v>19</v>
      </c>
      <c r="K233" s="56">
        <v>0</v>
      </c>
      <c r="L233" s="56">
        <v>768840000</v>
      </c>
      <c r="M233" s="56">
        <v>186011231.94</v>
      </c>
      <c r="N233" s="56">
        <v>5868889019.900001</v>
      </c>
      <c r="O233" s="56">
        <v>225</v>
      </c>
      <c r="P233" s="56">
        <v>0</v>
      </c>
      <c r="Q233" s="56">
        <v>0</v>
      </c>
      <c r="R233" s="56">
        <v>0</v>
      </c>
      <c r="S233" s="56">
        <v>0</v>
      </c>
      <c r="T233" s="55" t="s">
        <v>1255</v>
      </c>
      <c r="U233" s="55" t="s">
        <v>1145</v>
      </c>
      <c r="V233" s="55" t="s">
        <v>1153</v>
      </c>
      <c r="W233" s="55" t="s">
        <v>1147</v>
      </c>
      <c r="X233" s="55" t="s">
        <v>1159</v>
      </c>
      <c r="Y233" s="55" t="s">
        <v>1210</v>
      </c>
      <c r="Z233" s="55" t="s">
        <v>1170</v>
      </c>
    </row>
    <row r="234" spans="1:26">
      <c r="A234" s="55" t="s">
        <v>778</v>
      </c>
      <c r="B234" s="55" t="s">
        <v>272</v>
      </c>
      <c r="C234" s="55" t="s">
        <v>1142</v>
      </c>
      <c r="D234" s="55" t="s">
        <v>1143</v>
      </c>
      <c r="E234" s="55" t="s">
        <v>1143</v>
      </c>
      <c r="F234" s="55" t="s">
        <v>73</v>
      </c>
      <c r="G234" s="56">
        <v>1</v>
      </c>
      <c r="H234" s="56">
        <v>1</v>
      </c>
      <c r="I234" s="56">
        <v>0</v>
      </c>
      <c r="J234" s="56">
        <v>1</v>
      </c>
      <c r="K234" s="56">
        <v>0</v>
      </c>
      <c r="L234" s="56">
        <v>37250000</v>
      </c>
      <c r="M234" s="56">
        <v>0</v>
      </c>
      <c r="N234" s="56">
        <v>0</v>
      </c>
      <c r="O234" s="56">
        <v>21</v>
      </c>
      <c r="P234" s="56">
        <v>0</v>
      </c>
      <c r="Q234" s="56">
        <v>0</v>
      </c>
      <c r="R234" s="56">
        <v>0</v>
      </c>
      <c r="S234" s="56">
        <v>0</v>
      </c>
      <c r="T234" s="55" t="s">
        <v>1157</v>
      </c>
      <c r="U234" s="55" t="s">
        <v>1145</v>
      </c>
      <c r="V234" s="55" t="s">
        <v>1153</v>
      </c>
      <c r="W234" s="55" t="s">
        <v>1168</v>
      </c>
      <c r="X234" s="55" t="s">
        <v>1285</v>
      </c>
      <c r="Y234" s="55" t="s">
        <v>1210</v>
      </c>
      <c r="Z234" s="55" t="s">
        <v>1185</v>
      </c>
    </row>
    <row r="235" spans="1:26">
      <c r="A235" s="55" t="s">
        <v>779</v>
      </c>
      <c r="B235" s="55" t="s">
        <v>272</v>
      </c>
      <c r="C235" s="55" t="s">
        <v>1142</v>
      </c>
      <c r="D235" s="55" t="s">
        <v>1143</v>
      </c>
      <c r="E235" s="55" t="s">
        <v>1143</v>
      </c>
      <c r="F235" s="55" t="s">
        <v>73</v>
      </c>
      <c r="G235" s="56">
        <v>1</v>
      </c>
      <c r="H235" s="56">
        <v>1</v>
      </c>
      <c r="I235" s="56">
        <v>0</v>
      </c>
      <c r="J235" s="56">
        <v>1</v>
      </c>
      <c r="K235" s="56">
        <v>0</v>
      </c>
      <c r="L235" s="56">
        <v>14900000</v>
      </c>
      <c r="M235" s="56">
        <v>0</v>
      </c>
      <c r="N235" s="56">
        <v>0</v>
      </c>
      <c r="O235" s="56">
        <v>3</v>
      </c>
      <c r="P235" s="56">
        <v>0</v>
      </c>
      <c r="Q235" s="56">
        <v>0</v>
      </c>
      <c r="R235" s="56">
        <v>0</v>
      </c>
      <c r="S235" s="56">
        <v>0</v>
      </c>
      <c r="T235" s="55" t="s">
        <v>1157</v>
      </c>
      <c r="U235" s="55" t="s">
        <v>1145</v>
      </c>
      <c r="V235" s="55" t="s">
        <v>1153</v>
      </c>
      <c r="W235" s="55" t="s">
        <v>1147</v>
      </c>
      <c r="X235" s="55" t="s">
        <v>1154</v>
      </c>
      <c r="Y235" s="55" t="s">
        <v>1284</v>
      </c>
      <c r="Z235" s="55" t="s">
        <v>1268</v>
      </c>
    </row>
    <row r="236" spans="1:26">
      <c r="A236" s="55" t="s">
        <v>780</v>
      </c>
      <c r="B236" s="55" t="s">
        <v>272</v>
      </c>
      <c r="C236" s="55" t="s">
        <v>1142</v>
      </c>
      <c r="D236" s="55" t="s">
        <v>1143</v>
      </c>
      <c r="E236" s="55" t="s">
        <v>1143</v>
      </c>
      <c r="F236" s="55" t="s">
        <v>73</v>
      </c>
      <c r="G236" s="56">
        <v>1</v>
      </c>
      <c r="H236" s="56">
        <v>1</v>
      </c>
      <c r="I236" s="56">
        <v>0</v>
      </c>
      <c r="J236" s="56">
        <v>84</v>
      </c>
      <c r="K236" s="56">
        <v>0</v>
      </c>
      <c r="L236" s="56">
        <v>3021855</v>
      </c>
      <c r="M236" s="56">
        <v>255319.18</v>
      </c>
      <c r="N236" s="56">
        <v>3021855</v>
      </c>
      <c r="O236" s="56">
        <v>25</v>
      </c>
      <c r="P236" s="56">
        <v>0</v>
      </c>
      <c r="Q236" s="56">
        <v>0</v>
      </c>
      <c r="R236" s="56">
        <v>0</v>
      </c>
      <c r="S236" s="56">
        <v>0</v>
      </c>
      <c r="T236" s="55" t="s">
        <v>1162</v>
      </c>
      <c r="U236" s="55" t="s">
        <v>1145</v>
      </c>
      <c r="V236" s="55" t="s">
        <v>1153</v>
      </c>
      <c r="Z236" s="55" t="s">
        <v>1261</v>
      </c>
    </row>
    <row r="237" spans="1:26">
      <c r="A237" s="55" t="s">
        <v>781</v>
      </c>
      <c r="B237" s="55" t="s">
        <v>546</v>
      </c>
      <c r="C237" s="55" t="s">
        <v>1151</v>
      </c>
      <c r="D237" s="55" t="s">
        <v>87</v>
      </c>
      <c r="E237" s="55" t="s">
        <v>87</v>
      </c>
      <c r="F237" s="55" t="s">
        <v>75</v>
      </c>
      <c r="G237" s="56">
        <v>5</v>
      </c>
      <c r="H237" s="56">
        <v>5</v>
      </c>
      <c r="I237" s="56">
        <v>2849</v>
      </c>
      <c r="J237" s="56">
        <v>4</v>
      </c>
      <c r="K237" s="56">
        <v>0</v>
      </c>
      <c r="L237" s="56">
        <v>0</v>
      </c>
      <c r="M237" s="56">
        <v>0</v>
      </c>
      <c r="N237" s="56">
        <v>10650426</v>
      </c>
      <c r="O237" s="56">
        <v>104</v>
      </c>
      <c r="P237" s="56">
        <v>1</v>
      </c>
      <c r="Q237" s="56">
        <v>0</v>
      </c>
      <c r="R237" s="56">
        <v>1</v>
      </c>
      <c r="S237" s="56">
        <v>1</v>
      </c>
      <c r="T237" s="55" t="s">
        <v>1167</v>
      </c>
      <c r="U237" s="55" t="s">
        <v>1145</v>
      </c>
      <c r="V237" s="55" t="s">
        <v>1146</v>
      </c>
      <c r="W237" s="55" t="s">
        <v>1147</v>
      </c>
      <c r="X237" s="55" t="s">
        <v>1201</v>
      </c>
      <c r="Y237" s="55" t="s">
        <v>1286</v>
      </c>
      <c r="Z237" s="55" t="s">
        <v>1164</v>
      </c>
    </row>
    <row r="238" spans="1:26">
      <c r="A238" s="55" t="s">
        <v>782</v>
      </c>
      <c r="B238" s="55" t="s">
        <v>272</v>
      </c>
      <c r="C238" s="55" t="s">
        <v>1187</v>
      </c>
      <c r="D238" s="55" t="s">
        <v>1188</v>
      </c>
      <c r="E238" s="55" t="s">
        <v>1188</v>
      </c>
      <c r="F238" s="55" t="s">
        <v>74</v>
      </c>
      <c r="G238" s="56">
        <v>2</v>
      </c>
      <c r="H238" s="56">
        <v>2</v>
      </c>
      <c r="I238" s="56">
        <v>20</v>
      </c>
      <c r="J238" s="56">
        <v>9</v>
      </c>
      <c r="K238" s="56">
        <v>1</v>
      </c>
      <c r="L238" s="56">
        <v>260857.04</v>
      </c>
      <c r="M238" s="56">
        <v>355461.74</v>
      </c>
      <c r="N238" s="56">
        <v>260857.04</v>
      </c>
      <c r="O238" s="56">
        <v>14</v>
      </c>
      <c r="P238" s="56">
        <v>0</v>
      </c>
      <c r="Q238" s="56">
        <v>0</v>
      </c>
      <c r="R238" s="56">
        <v>0</v>
      </c>
      <c r="S238" s="56">
        <v>1</v>
      </c>
      <c r="T238" s="55" t="s">
        <v>1162</v>
      </c>
      <c r="U238" s="55" t="s">
        <v>1145</v>
      </c>
      <c r="V238" s="55" t="s">
        <v>1153</v>
      </c>
      <c r="W238" s="55" t="s">
        <v>1168</v>
      </c>
      <c r="X238" s="55" t="s">
        <v>1159</v>
      </c>
      <c r="Y238" s="55" t="s">
        <v>1284</v>
      </c>
      <c r="Z238" s="55" t="s">
        <v>1185</v>
      </c>
    </row>
    <row r="239" spans="1:26">
      <c r="A239" s="55" t="s">
        <v>783</v>
      </c>
      <c r="B239" s="55" t="s">
        <v>272</v>
      </c>
      <c r="C239" s="55" t="s">
        <v>1142</v>
      </c>
      <c r="D239" s="55" t="s">
        <v>1143</v>
      </c>
      <c r="E239" s="55" t="s">
        <v>1143</v>
      </c>
      <c r="F239" s="55" t="s">
        <v>73</v>
      </c>
      <c r="G239" s="56">
        <v>1</v>
      </c>
      <c r="H239" s="56">
        <v>1</v>
      </c>
      <c r="I239" s="56">
        <v>0</v>
      </c>
      <c r="J239" s="56">
        <v>1</v>
      </c>
      <c r="K239" s="56">
        <v>0</v>
      </c>
      <c r="L239" s="56">
        <v>0</v>
      </c>
      <c r="M239" s="56">
        <v>1557505.45</v>
      </c>
      <c r="N239" s="56">
        <v>0</v>
      </c>
      <c r="O239" s="56">
        <v>32</v>
      </c>
      <c r="P239" s="56">
        <v>1</v>
      </c>
      <c r="Q239" s="56">
        <v>0</v>
      </c>
      <c r="R239" s="56">
        <v>0</v>
      </c>
      <c r="S239" s="56">
        <v>0</v>
      </c>
      <c r="T239" s="55" t="s">
        <v>1227</v>
      </c>
      <c r="U239" s="55" t="s">
        <v>1145</v>
      </c>
      <c r="V239" s="55" t="s">
        <v>1153</v>
      </c>
      <c r="W239" s="55" t="s">
        <v>1147</v>
      </c>
      <c r="X239" s="55" t="s">
        <v>1159</v>
      </c>
      <c r="Y239" s="55" t="s">
        <v>1284</v>
      </c>
      <c r="Z239" s="55" t="s">
        <v>1220</v>
      </c>
    </row>
    <row r="240" spans="1:26">
      <c r="A240" s="55" t="s">
        <v>784</v>
      </c>
      <c r="B240" s="55" t="s">
        <v>272</v>
      </c>
      <c r="C240" s="55" t="s">
        <v>1187</v>
      </c>
      <c r="D240" s="55" t="s">
        <v>1188</v>
      </c>
      <c r="E240" s="55" t="s">
        <v>1188</v>
      </c>
      <c r="F240" s="55" t="s">
        <v>74</v>
      </c>
      <c r="G240" s="56">
        <v>2</v>
      </c>
      <c r="H240" s="56">
        <v>2</v>
      </c>
      <c r="I240" s="56">
        <v>34</v>
      </c>
      <c r="J240" s="56">
        <v>1</v>
      </c>
      <c r="K240" s="56">
        <v>1</v>
      </c>
      <c r="L240" s="56">
        <v>0</v>
      </c>
      <c r="M240" s="56">
        <v>3461033.26</v>
      </c>
      <c r="N240" s="56">
        <v>369820756.7</v>
      </c>
      <c r="O240" s="56">
        <v>82</v>
      </c>
      <c r="P240" s="56">
        <v>1</v>
      </c>
      <c r="Q240" s="56">
        <v>0</v>
      </c>
      <c r="R240" s="56">
        <v>0</v>
      </c>
      <c r="S240" s="56">
        <v>1</v>
      </c>
      <c r="T240" s="55" t="s">
        <v>1157</v>
      </c>
      <c r="U240" s="55" t="s">
        <v>1145</v>
      </c>
      <c r="V240" s="55" t="s">
        <v>1153</v>
      </c>
      <c r="W240" s="55" t="s">
        <v>1147</v>
      </c>
      <c r="X240" s="55" t="s">
        <v>1154</v>
      </c>
      <c r="Y240" s="55" t="s">
        <v>1284</v>
      </c>
      <c r="Z240" s="55" t="s">
        <v>1166</v>
      </c>
    </row>
    <row r="241" spans="1:26">
      <c r="A241" s="55" t="s">
        <v>785</v>
      </c>
      <c r="B241" s="55" t="s">
        <v>272</v>
      </c>
      <c r="C241" s="55" t="s">
        <v>1142</v>
      </c>
      <c r="D241" s="55" t="s">
        <v>1143</v>
      </c>
      <c r="E241" s="55" t="s">
        <v>1143</v>
      </c>
      <c r="F241" s="55" t="s">
        <v>73</v>
      </c>
      <c r="G241" s="56">
        <v>1</v>
      </c>
      <c r="H241" s="56">
        <v>1</v>
      </c>
      <c r="I241" s="56">
        <v>0</v>
      </c>
      <c r="J241" s="56">
        <v>2</v>
      </c>
      <c r="K241" s="56">
        <v>0</v>
      </c>
      <c r="L241" s="56">
        <v>0</v>
      </c>
      <c r="M241" s="56">
        <v>8475894.42</v>
      </c>
      <c r="N241" s="56">
        <v>289725000.2</v>
      </c>
      <c r="O241" s="56">
        <v>27</v>
      </c>
      <c r="P241" s="56">
        <v>1</v>
      </c>
      <c r="Q241" s="56">
        <v>0</v>
      </c>
      <c r="R241" s="56">
        <v>0</v>
      </c>
      <c r="S241" s="56">
        <v>0</v>
      </c>
      <c r="T241" s="55" t="s">
        <v>1167</v>
      </c>
      <c r="U241" s="55" t="s">
        <v>1145</v>
      </c>
      <c r="V241" s="55" t="s">
        <v>1146</v>
      </c>
      <c r="W241" s="55" t="s">
        <v>1147</v>
      </c>
      <c r="X241" s="55" t="s">
        <v>1154</v>
      </c>
      <c r="Y241" s="55" t="s">
        <v>1216</v>
      </c>
      <c r="Z241" s="55" t="s">
        <v>1242</v>
      </c>
    </row>
    <row r="242" spans="1:26">
      <c r="A242" s="55" t="s">
        <v>786</v>
      </c>
      <c r="B242" s="55" t="s">
        <v>272</v>
      </c>
      <c r="C242" s="55" t="s">
        <v>1142</v>
      </c>
      <c r="D242" s="55" t="s">
        <v>1143</v>
      </c>
      <c r="E242" s="55" t="s">
        <v>1143</v>
      </c>
      <c r="F242" s="55" t="s">
        <v>73</v>
      </c>
      <c r="G242" s="56">
        <v>1</v>
      </c>
      <c r="H242" s="56">
        <v>1</v>
      </c>
      <c r="I242" s="56">
        <v>0</v>
      </c>
      <c r="J242" s="56">
        <v>20</v>
      </c>
      <c r="K242" s="56">
        <v>0</v>
      </c>
      <c r="L242" s="56">
        <v>14900000</v>
      </c>
      <c r="M242" s="56">
        <v>57574215.53</v>
      </c>
      <c r="N242" s="56">
        <v>638959906.04</v>
      </c>
      <c r="O242" s="56">
        <v>66</v>
      </c>
      <c r="P242" s="56">
        <v>0</v>
      </c>
      <c r="Q242" s="56">
        <v>0</v>
      </c>
      <c r="R242" s="56">
        <v>0</v>
      </c>
      <c r="S242" s="56">
        <v>0</v>
      </c>
      <c r="T242" s="55" t="s">
        <v>1157</v>
      </c>
      <c r="U242" s="55" t="s">
        <v>1145</v>
      </c>
      <c r="V242" s="55" t="s">
        <v>1146</v>
      </c>
      <c r="W242" s="55" t="s">
        <v>1180</v>
      </c>
      <c r="X242" s="55" t="s">
        <v>1154</v>
      </c>
      <c r="Y242" s="55" t="s">
        <v>1287</v>
      </c>
      <c r="Z242" s="55" t="s">
        <v>1196</v>
      </c>
    </row>
    <row r="243" spans="1:26">
      <c r="A243" s="55" t="s">
        <v>787</v>
      </c>
      <c r="B243" s="55" t="s">
        <v>546</v>
      </c>
      <c r="C243" s="55" t="s">
        <v>1151</v>
      </c>
      <c r="D243" s="55" t="s">
        <v>87</v>
      </c>
      <c r="E243" s="55" t="s">
        <v>87</v>
      </c>
      <c r="F243" s="55" t="s">
        <v>75</v>
      </c>
      <c r="G243" s="56">
        <v>5</v>
      </c>
      <c r="H243" s="56">
        <v>5</v>
      </c>
      <c r="I243" s="56">
        <v>756</v>
      </c>
      <c r="J243" s="56">
        <v>70</v>
      </c>
      <c r="K243" s="56">
        <v>0</v>
      </c>
      <c r="L243" s="56">
        <v>0</v>
      </c>
      <c r="M243" s="56">
        <v>645021</v>
      </c>
      <c r="N243" s="56">
        <v>10583985.59</v>
      </c>
      <c r="O243" s="56">
        <v>55</v>
      </c>
      <c r="P243" s="56">
        <v>1</v>
      </c>
      <c r="Q243" s="56">
        <v>0</v>
      </c>
      <c r="R243" s="56">
        <v>1</v>
      </c>
      <c r="S243" s="56">
        <v>1</v>
      </c>
      <c r="T243" s="55" t="s">
        <v>1157</v>
      </c>
      <c r="U243" s="55" t="s">
        <v>1165</v>
      </c>
      <c r="V243" s="55" t="s">
        <v>1146</v>
      </c>
      <c r="W243" s="55" t="s">
        <v>1147</v>
      </c>
      <c r="X243" s="55" t="s">
        <v>1154</v>
      </c>
      <c r="Y243" s="55" t="s">
        <v>1287</v>
      </c>
      <c r="Z243" s="55" t="s">
        <v>1226</v>
      </c>
    </row>
    <row r="244" spans="1:26">
      <c r="A244" s="55" t="s">
        <v>788</v>
      </c>
      <c r="B244" s="55" t="s">
        <v>272</v>
      </c>
      <c r="C244" s="55" t="s">
        <v>1142</v>
      </c>
      <c r="D244" s="55" t="s">
        <v>1143</v>
      </c>
      <c r="E244" s="55" t="s">
        <v>1143</v>
      </c>
      <c r="F244" s="55" t="s">
        <v>73</v>
      </c>
      <c r="G244" s="56">
        <v>1</v>
      </c>
      <c r="H244" s="56">
        <v>1</v>
      </c>
      <c r="I244" s="56">
        <v>0</v>
      </c>
      <c r="J244" s="56">
        <v>135</v>
      </c>
      <c r="K244" s="56">
        <v>0</v>
      </c>
      <c r="L244" s="56">
        <v>10562389.45</v>
      </c>
      <c r="M244" s="56">
        <v>3047142.58</v>
      </c>
      <c r="N244" s="56">
        <v>10960381.05</v>
      </c>
      <c r="O244" s="56">
        <v>27</v>
      </c>
      <c r="P244" s="56">
        <v>0</v>
      </c>
      <c r="Q244" s="56">
        <v>0</v>
      </c>
      <c r="R244" s="56">
        <v>0</v>
      </c>
      <c r="S244" s="56">
        <v>0</v>
      </c>
      <c r="T244" s="55" t="s">
        <v>1157</v>
      </c>
      <c r="U244" s="55" t="s">
        <v>1165</v>
      </c>
      <c r="V244" s="55" t="s">
        <v>1146</v>
      </c>
      <c r="W244" s="55" t="s">
        <v>1168</v>
      </c>
      <c r="X244" s="55" t="s">
        <v>1154</v>
      </c>
      <c r="Y244" s="55" t="s">
        <v>1287</v>
      </c>
      <c r="Z244" s="55" t="s">
        <v>1230</v>
      </c>
    </row>
    <row r="245" spans="1:26">
      <c r="A245" s="55" t="s">
        <v>789</v>
      </c>
      <c r="B245" s="55" t="s">
        <v>272</v>
      </c>
      <c r="C245" s="55" t="s">
        <v>1142</v>
      </c>
      <c r="D245" s="55" t="s">
        <v>1143</v>
      </c>
      <c r="E245" s="55" t="s">
        <v>1143</v>
      </c>
      <c r="F245" s="55" t="s">
        <v>73</v>
      </c>
      <c r="G245" s="56">
        <v>1</v>
      </c>
      <c r="H245" s="56">
        <v>1</v>
      </c>
      <c r="I245" s="56">
        <v>0</v>
      </c>
      <c r="J245" s="56">
        <v>14</v>
      </c>
      <c r="K245" s="56">
        <v>0</v>
      </c>
      <c r="L245" s="56">
        <v>3246338.6</v>
      </c>
      <c r="M245" s="56">
        <v>10390594.69</v>
      </c>
      <c r="N245" s="56">
        <v>305155535.2500001</v>
      </c>
      <c r="O245" s="56">
        <v>68</v>
      </c>
      <c r="P245" s="56">
        <v>0</v>
      </c>
      <c r="Q245" s="56">
        <v>0</v>
      </c>
      <c r="R245" s="56">
        <v>0</v>
      </c>
      <c r="S245" s="56">
        <v>0</v>
      </c>
      <c r="T245" s="55" t="s">
        <v>1152</v>
      </c>
      <c r="U245" s="55" t="s">
        <v>1145</v>
      </c>
      <c r="V245" s="55" t="s">
        <v>1146</v>
      </c>
      <c r="W245" s="55" t="s">
        <v>1147</v>
      </c>
      <c r="X245" s="55" t="s">
        <v>1154</v>
      </c>
      <c r="Y245" s="55" t="s">
        <v>1253</v>
      </c>
      <c r="Z245" s="55" t="s">
        <v>1166</v>
      </c>
    </row>
    <row r="246" spans="1:26">
      <c r="A246" s="55" t="s">
        <v>790</v>
      </c>
      <c r="B246" s="55" t="s">
        <v>272</v>
      </c>
      <c r="C246" s="55" t="s">
        <v>1236</v>
      </c>
      <c r="D246" s="55" t="s">
        <v>87</v>
      </c>
      <c r="E246" s="55" t="s">
        <v>87</v>
      </c>
      <c r="F246" s="55" t="s">
        <v>75</v>
      </c>
      <c r="G246" s="56">
        <v>5</v>
      </c>
      <c r="H246" s="56">
        <v>5</v>
      </c>
      <c r="I246" s="56">
        <v>848</v>
      </c>
      <c r="J246" s="56">
        <v>30</v>
      </c>
      <c r="K246" s="56">
        <v>1</v>
      </c>
      <c r="L246" s="56">
        <v>7860225.04</v>
      </c>
      <c r="M246" s="56">
        <v>1737720.72</v>
      </c>
      <c r="N246" s="56">
        <v>23872219.39</v>
      </c>
      <c r="O246" s="56">
        <v>45</v>
      </c>
      <c r="P246" s="56">
        <v>0</v>
      </c>
      <c r="Q246" s="56">
        <v>1</v>
      </c>
      <c r="R246" s="56">
        <v>1</v>
      </c>
      <c r="S246" s="56">
        <v>1</v>
      </c>
      <c r="T246" s="55" t="s">
        <v>1167</v>
      </c>
      <c r="U246" s="55" t="s">
        <v>1145</v>
      </c>
      <c r="V246" s="55" t="s">
        <v>1153</v>
      </c>
      <c r="W246" s="55" t="s">
        <v>1168</v>
      </c>
      <c r="X246" s="55" t="s">
        <v>1154</v>
      </c>
      <c r="Y246" s="55" t="s">
        <v>1210</v>
      </c>
      <c r="Z246" s="55" t="s">
        <v>1229</v>
      </c>
    </row>
    <row r="247" spans="1:26">
      <c r="A247" s="55" t="s">
        <v>791</v>
      </c>
      <c r="B247" s="55" t="s">
        <v>546</v>
      </c>
      <c r="C247" s="55" t="s">
        <v>1151</v>
      </c>
      <c r="D247" s="55" t="s">
        <v>87</v>
      </c>
      <c r="E247" s="55" t="s">
        <v>87</v>
      </c>
      <c r="F247" s="55" t="s">
        <v>75</v>
      </c>
      <c r="G247" s="56">
        <v>5</v>
      </c>
      <c r="H247" s="56">
        <v>5</v>
      </c>
      <c r="I247" s="56">
        <v>603</v>
      </c>
      <c r="J247" s="56">
        <v>29</v>
      </c>
      <c r="K247" s="56">
        <v>0</v>
      </c>
      <c r="L247" s="56">
        <v>0</v>
      </c>
      <c r="M247" s="56">
        <v>0</v>
      </c>
      <c r="N247" s="56">
        <v>3631903.2</v>
      </c>
      <c r="O247" s="56">
        <v>34</v>
      </c>
      <c r="P247" s="56">
        <v>1</v>
      </c>
      <c r="Q247" s="56">
        <v>0</v>
      </c>
      <c r="R247" s="56">
        <v>1</v>
      </c>
      <c r="S247" s="56">
        <v>1</v>
      </c>
      <c r="T247" s="55" t="s">
        <v>1157</v>
      </c>
      <c r="U247" s="55" t="s">
        <v>1145</v>
      </c>
      <c r="V247" s="55" t="s">
        <v>1153</v>
      </c>
      <c r="W247" s="55" t="s">
        <v>1168</v>
      </c>
      <c r="X247" s="55" t="s">
        <v>1154</v>
      </c>
      <c r="Y247" s="55" t="s">
        <v>1288</v>
      </c>
      <c r="Z247" s="55" t="s">
        <v>1150</v>
      </c>
    </row>
    <row r="248" spans="1:26">
      <c r="A248" s="55" t="s">
        <v>792</v>
      </c>
      <c r="B248" s="55" t="s">
        <v>272</v>
      </c>
      <c r="C248" s="55" t="s">
        <v>1142</v>
      </c>
      <c r="D248" s="55" t="s">
        <v>1143</v>
      </c>
      <c r="E248" s="55" t="s">
        <v>1143</v>
      </c>
      <c r="F248" s="55" t="s">
        <v>73</v>
      </c>
      <c r="G248" s="56">
        <v>1</v>
      </c>
      <c r="H248" s="56">
        <v>1</v>
      </c>
      <c r="I248" s="56">
        <v>0</v>
      </c>
      <c r="J248" s="56">
        <v>51</v>
      </c>
      <c r="K248" s="56">
        <v>0</v>
      </c>
      <c r="L248" s="56">
        <v>34270000</v>
      </c>
      <c r="M248" s="56">
        <v>1907807.67</v>
      </c>
      <c r="N248" s="56">
        <v>133085933.69</v>
      </c>
      <c r="O248" s="56">
        <v>59</v>
      </c>
      <c r="P248" s="56">
        <v>0</v>
      </c>
      <c r="Q248" s="56">
        <v>0</v>
      </c>
      <c r="R248" s="56">
        <v>0</v>
      </c>
      <c r="S248" s="56">
        <v>0</v>
      </c>
      <c r="T248" s="55" t="s">
        <v>1157</v>
      </c>
      <c r="U248" s="55" t="s">
        <v>1145</v>
      </c>
      <c r="V248" s="55" t="s">
        <v>1153</v>
      </c>
      <c r="W248" s="55" t="s">
        <v>1147</v>
      </c>
      <c r="X248" s="55" t="s">
        <v>1148</v>
      </c>
      <c r="Y248" s="55" t="s">
        <v>1288</v>
      </c>
      <c r="Z248" s="55" t="s">
        <v>1260</v>
      </c>
    </row>
    <row r="249" spans="1:26">
      <c r="A249" s="55" t="s">
        <v>793</v>
      </c>
      <c r="B249" s="55" t="s">
        <v>546</v>
      </c>
      <c r="C249" s="55" t="s">
        <v>1151</v>
      </c>
      <c r="D249" s="55" t="s">
        <v>87</v>
      </c>
      <c r="E249" s="55" t="s">
        <v>87</v>
      </c>
      <c r="F249" s="55" t="s">
        <v>75</v>
      </c>
      <c r="G249" s="56">
        <v>5</v>
      </c>
      <c r="H249" s="56">
        <v>5</v>
      </c>
      <c r="I249" s="56">
        <v>1403</v>
      </c>
      <c r="J249" s="56">
        <v>14</v>
      </c>
      <c r="K249" s="56">
        <v>1</v>
      </c>
      <c r="L249" s="56">
        <v>0</v>
      </c>
      <c r="M249" s="56">
        <v>4608440.19</v>
      </c>
      <c r="N249" s="56">
        <v>144753892.28</v>
      </c>
      <c r="O249" s="56">
        <v>94</v>
      </c>
      <c r="P249" s="56">
        <v>1</v>
      </c>
      <c r="Q249" s="56">
        <v>0</v>
      </c>
      <c r="R249" s="56">
        <v>1</v>
      </c>
      <c r="S249" s="56">
        <v>1</v>
      </c>
      <c r="T249" s="55" t="s">
        <v>1227</v>
      </c>
      <c r="U249" s="55" t="s">
        <v>1165</v>
      </c>
      <c r="V249" s="55" t="s">
        <v>1146</v>
      </c>
      <c r="W249" s="55" t="s">
        <v>1168</v>
      </c>
      <c r="X249" s="55" t="s">
        <v>1159</v>
      </c>
      <c r="Y249" s="55" t="s">
        <v>1288</v>
      </c>
      <c r="Z249" s="55" t="s">
        <v>1164</v>
      </c>
    </row>
    <row r="250" spans="1:26">
      <c r="A250" s="55" t="s">
        <v>794</v>
      </c>
      <c r="B250" s="55" t="s">
        <v>272</v>
      </c>
      <c r="C250" s="55" t="s">
        <v>1142</v>
      </c>
      <c r="D250" s="55" t="s">
        <v>1143</v>
      </c>
      <c r="E250" s="55" t="s">
        <v>1143</v>
      </c>
      <c r="F250" s="55" t="s">
        <v>73</v>
      </c>
      <c r="G250" s="56">
        <v>1</v>
      </c>
      <c r="H250" s="56">
        <v>1</v>
      </c>
      <c r="I250" s="56">
        <v>0</v>
      </c>
      <c r="J250" s="56">
        <v>211</v>
      </c>
      <c r="K250" s="56">
        <v>0</v>
      </c>
      <c r="L250" s="56">
        <v>1739075.66</v>
      </c>
      <c r="M250" s="56">
        <v>4191898.92</v>
      </c>
      <c r="N250" s="56">
        <v>36561133.26</v>
      </c>
      <c r="O250" s="56">
        <v>84</v>
      </c>
      <c r="P250" s="56">
        <v>0</v>
      </c>
      <c r="Q250" s="56">
        <v>0</v>
      </c>
      <c r="R250" s="56">
        <v>0</v>
      </c>
      <c r="S250" s="56">
        <v>0</v>
      </c>
      <c r="T250" s="55" t="s">
        <v>1157</v>
      </c>
      <c r="U250" s="55" t="s">
        <v>1165</v>
      </c>
      <c r="V250" s="55" t="s">
        <v>1153</v>
      </c>
      <c r="W250" s="55" t="s">
        <v>1147</v>
      </c>
      <c r="X250" s="55" t="s">
        <v>1148</v>
      </c>
      <c r="Y250" s="55" t="s">
        <v>1288</v>
      </c>
      <c r="Z250" s="55" t="s">
        <v>1211</v>
      </c>
    </row>
    <row r="251" spans="1:26">
      <c r="A251" s="55" t="s">
        <v>795</v>
      </c>
      <c r="B251" s="55" t="s">
        <v>272</v>
      </c>
      <c r="C251" s="55" t="s">
        <v>1142</v>
      </c>
      <c r="D251" s="55" t="s">
        <v>1143</v>
      </c>
      <c r="E251" s="55" t="s">
        <v>1143</v>
      </c>
      <c r="F251" s="55" t="s">
        <v>73</v>
      </c>
      <c r="G251" s="56">
        <v>1</v>
      </c>
      <c r="H251" s="56">
        <v>1</v>
      </c>
      <c r="I251" s="56">
        <v>0</v>
      </c>
      <c r="J251" s="56">
        <v>5</v>
      </c>
      <c r="K251" s="56">
        <v>0</v>
      </c>
      <c r="L251" s="56">
        <v>4680000</v>
      </c>
      <c r="M251" s="56">
        <v>1038720.51</v>
      </c>
      <c r="N251" s="56">
        <v>4680000</v>
      </c>
      <c r="O251" s="56">
        <v>112</v>
      </c>
      <c r="P251" s="56">
        <v>0</v>
      </c>
      <c r="Q251" s="56">
        <v>0</v>
      </c>
      <c r="R251" s="56">
        <v>0</v>
      </c>
      <c r="S251" s="56">
        <v>0</v>
      </c>
      <c r="T251" s="55" t="s">
        <v>1173</v>
      </c>
      <c r="U251" s="55" t="s">
        <v>1145</v>
      </c>
      <c r="V251" s="55" t="s">
        <v>1146</v>
      </c>
      <c r="W251" s="55" t="s">
        <v>1147</v>
      </c>
      <c r="X251" s="55" t="s">
        <v>1198</v>
      </c>
      <c r="Y251" s="55" t="s">
        <v>1289</v>
      </c>
      <c r="Z251" s="55" t="s">
        <v>1211</v>
      </c>
    </row>
    <row r="252" spans="1:26">
      <c r="A252" s="55" t="s">
        <v>796</v>
      </c>
      <c r="B252" s="55" t="s">
        <v>563</v>
      </c>
      <c r="C252" s="55" t="s">
        <v>1236</v>
      </c>
      <c r="D252" s="55" t="s">
        <v>86</v>
      </c>
      <c r="E252" s="55" t="s">
        <v>86</v>
      </c>
      <c r="F252" s="55" t="s">
        <v>75</v>
      </c>
      <c r="G252" s="56">
        <v>4</v>
      </c>
      <c r="H252" s="56">
        <v>4</v>
      </c>
      <c r="I252" s="56">
        <v>138</v>
      </c>
      <c r="J252" s="56">
        <v>38</v>
      </c>
      <c r="K252" s="56">
        <v>1</v>
      </c>
      <c r="L252" s="56">
        <v>3066763.09</v>
      </c>
      <c r="M252" s="56">
        <v>3069105.21</v>
      </c>
      <c r="N252" s="56">
        <v>102817660.47</v>
      </c>
      <c r="O252" s="56">
        <v>90</v>
      </c>
      <c r="P252" s="56">
        <v>0</v>
      </c>
      <c r="Q252" s="56">
        <v>1</v>
      </c>
      <c r="R252" s="56">
        <v>1</v>
      </c>
      <c r="S252" s="56">
        <v>1</v>
      </c>
      <c r="T252" s="55" t="s">
        <v>1173</v>
      </c>
      <c r="U252" s="55" t="s">
        <v>1145</v>
      </c>
      <c r="V252" s="55" t="s">
        <v>1146</v>
      </c>
      <c r="W252" s="55" t="s">
        <v>1168</v>
      </c>
      <c r="X252" s="55" t="s">
        <v>1154</v>
      </c>
      <c r="Y252" s="55" t="s">
        <v>1289</v>
      </c>
      <c r="Z252" s="55" t="s">
        <v>1230</v>
      </c>
    </row>
    <row r="253" spans="1:26">
      <c r="A253" s="55" t="s">
        <v>797</v>
      </c>
      <c r="B253" s="55" t="s">
        <v>272</v>
      </c>
      <c r="C253" s="55" t="s">
        <v>1142</v>
      </c>
      <c r="D253" s="55" t="s">
        <v>1143</v>
      </c>
      <c r="E253" s="55" t="s">
        <v>1143</v>
      </c>
      <c r="F253" s="55" t="s">
        <v>73</v>
      </c>
      <c r="G253" s="56">
        <v>1</v>
      </c>
      <c r="H253" s="56">
        <v>1</v>
      </c>
      <c r="I253" s="56">
        <v>0</v>
      </c>
      <c r="J253" s="56">
        <v>1</v>
      </c>
      <c r="K253" s="56">
        <v>0</v>
      </c>
      <c r="L253" s="56">
        <v>32780000</v>
      </c>
      <c r="M253" s="56">
        <v>24184.9</v>
      </c>
      <c r="N253" s="56">
        <v>483698</v>
      </c>
      <c r="O253" s="56">
        <v>23</v>
      </c>
      <c r="P253" s="56">
        <v>0</v>
      </c>
      <c r="Q253" s="56">
        <v>0</v>
      </c>
      <c r="R253" s="56">
        <v>0</v>
      </c>
      <c r="S253" s="56">
        <v>0</v>
      </c>
      <c r="T253" s="55" t="s">
        <v>1157</v>
      </c>
      <c r="U253" s="55" t="s">
        <v>1145</v>
      </c>
      <c r="V253" s="55" t="s">
        <v>1153</v>
      </c>
      <c r="W253" s="55" t="s">
        <v>1168</v>
      </c>
      <c r="X253" s="55" t="s">
        <v>1163</v>
      </c>
      <c r="Y253" s="55" t="s">
        <v>1289</v>
      </c>
      <c r="Z253" s="55" t="s">
        <v>1194</v>
      </c>
    </row>
    <row r="254" spans="1:26">
      <c r="A254" s="55" t="s">
        <v>798</v>
      </c>
      <c r="B254" s="55" t="s">
        <v>546</v>
      </c>
      <c r="C254" s="55" t="s">
        <v>1151</v>
      </c>
      <c r="D254" s="55" t="s">
        <v>87</v>
      </c>
      <c r="E254" s="55" t="s">
        <v>87</v>
      </c>
      <c r="F254" s="55" t="s">
        <v>75</v>
      </c>
      <c r="G254" s="56">
        <v>5</v>
      </c>
      <c r="H254" s="56">
        <v>5</v>
      </c>
      <c r="I254" s="56">
        <v>1227</v>
      </c>
      <c r="J254" s="56">
        <v>54</v>
      </c>
      <c r="K254" s="56">
        <v>0</v>
      </c>
      <c r="L254" s="56">
        <v>8244457.27</v>
      </c>
      <c r="M254" s="56">
        <v>7048717.04</v>
      </c>
      <c r="N254" s="56">
        <v>38006089.27</v>
      </c>
      <c r="O254" s="56">
        <v>73</v>
      </c>
      <c r="P254" s="56">
        <v>0</v>
      </c>
      <c r="Q254" s="56">
        <v>0</v>
      </c>
      <c r="R254" s="56">
        <v>1</v>
      </c>
      <c r="S254" s="56">
        <v>1</v>
      </c>
      <c r="T254" s="55" t="s">
        <v>1157</v>
      </c>
      <c r="U254" s="55" t="s">
        <v>1165</v>
      </c>
      <c r="V254" s="55" t="s">
        <v>1153</v>
      </c>
      <c r="W254" s="55" t="s">
        <v>1168</v>
      </c>
      <c r="X254" s="55" t="s">
        <v>1221</v>
      </c>
      <c r="Y254" s="55" t="s">
        <v>1290</v>
      </c>
      <c r="Z254" s="55" t="s">
        <v>1196</v>
      </c>
    </row>
    <row r="255" spans="1:26">
      <c r="A255" s="55" t="s">
        <v>799</v>
      </c>
      <c r="B255" s="55" t="s">
        <v>272</v>
      </c>
      <c r="C255" s="55" t="s">
        <v>1142</v>
      </c>
      <c r="D255" s="55" t="s">
        <v>1143</v>
      </c>
      <c r="E255" s="55" t="s">
        <v>1143</v>
      </c>
      <c r="F255" s="55" t="s">
        <v>73</v>
      </c>
      <c r="G255" s="56">
        <v>1</v>
      </c>
      <c r="H255" s="56">
        <v>1</v>
      </c>
      <c r="I255" s="56">
        <v>0</v>
      </c>
      <c r="J255" s="56">
        <v>3</v>
      </c>
      <c r="K255" s="56">
        <v>0</v>
      </c>
      <c r="L255" s="56">
        <v>1599780</v>
      </c>
      <c r="M255" s="56">
        <v>2117610.58</v>
      </c>
      <c r="N255" s="56">
        <v>1599780</v>
      </c>
      <c r="O255" s="56">
        <v>4</v>
      </c>
      <c r="P255" s="56">
        <v>0</v>
      </c>
      <c r="Q255" s="56">
        <v>0</v>
      </c>
      <c r="R255" s="56">
        <v>0</v>
      </c>
      <c r="S255" s="56">
        <v>0</v>
      </c>
      <c r="T255" s="55" t="s">
        <v>1162</v>
      </c>
      <c r="U255" s="55" t="s">
        <v>1145</v>
      </c>
      <c r="V255" s="55" t="s">
        <v>1153</v>
      </c>
      <c r="W255" s="55" t="s">
        <v>1168</v>
      </c>
      <c r="X255" s="55" t="s">
        <v>1159</v>
      </c>
      <c r="Y255" s="55" t="s">
        <v>1291</v>
      </c>
      <c r="Z255" s="55" t="s">
        <v>1193</v>
      </c>
    </row>
    <row r="256" spans="1:26">
      <c r="A256" s="55" t="s">
        <v>800</v>
      </c>
      <c r="B256" s="55" t="s">
        <v>546</v>
      </c>
      <c r="C256" s="55" t="s">
        <v>1151</v>
      </c>
      <c r="D256" s="55" t="s">
        <v>87</v>
      </c>
      <c r="E256" s="55" t="s">
        <v>87</v>
      </c>
      <c r="F256" s="55" t="s">
        <v>75</v>
      </c>
      <c r="G256" s="56">
        <v>5</v>
      </c>
      <c r="H256" s="56">
        <v>5</v>
      </c>
      <c r="I256" s="56">
        <v>340</v>
      </c>
      <c r="J256" s="56">
        <v>182</v>
      </c>
      <c r="K256" s="56">
        <v>0</v>
      </c>
      <c r="L256" s="56">
        <v>417120</v>
      </c>
      <c r="M256" s="56">
        <v>534165</v>
      </c>
      <c r="N256" s="56">
        <v>3319684.84</v>
      </c>
      <c r="O256" s="56">
        <v>57</v>
      </c>
      <c r="P256" s="56">
        <v>0</v>
      </c>
      <c r="Q256" s="56">
        <v>0</v>
      </c>
      <c r="R256" s="56">
        <v>1</v>
      </c>
      <c r="S256" s="56">
        <v>1</v>
      </c>
      <c r="T256" s="55" t="s">
        <v>1162</v>
      </c>
      <c r="U256" s="55" t="s">
        <v>1145</v>
      </c>
      <c r="V256" s="55" t="s">
        <v>1153</v>
      </c>
      <c r="W256" s="55" t="s">
        <v>1168</v>
      </c>
      <c r="X256" s="55" t="s">
        <v>1292</v>
      </c>
      <c r="Y256" s="55" t="s">
        <v>1293</v>
      </c>
      <c r="Z256" s="55" t="s">
        <v>1172</v>
      </c>
    </row>
    <row r="257" spans="1:26">
      <c r="A257" s="55" t="s">
        <v>801</v>
      </c>
      <c r="B257" s="55" t="s">
        <v>546</v>
      </c>
      <c r="C257" s="55" t="s">
        <v>1151</v>
      </c>
      <c r="D257" s="55" t="s">
        <v>87</v>
      </c>
      <c r="E257" s="55" t="s">
        <v>87</v>
      </c>
      <c r="F257" s="55" t="s">
        <v>75</v>
      </c>
      <c r="G257" s="56">
        <v>5</v>
      </c>
      <c r="H257" s="56">
        <v>5</v>
      </c>
      <c r="I257" s="56">
        <v>453</v>
      </c>
      <c r="J257" s="56">
        <v>19</v>
      </c>
      <c r="K257" s="56">
        <v>1</v>
      </c>
      <c r="L257" s="56">
        <v>0</v>
      </c>
      <c r="M257" s="56">
        <v>1459180.76</v>
      </c>
      <c r="N257" s="56">
        <v>46913552.32</v>
      </c>
      <c r="O257" s="56">
        <v>78</v>
      </c>
      <c r="P257" s="56">
        <v>1</v>
      </c>
      <c r="Q257" s="56">
        <v>0</v>
      </c>
      <c r="R257" s="56">
        <v>1</v>
      </c>
      <c r="S257" s="56">
        <v>1</v>
      </c>
      <c r="T257" s="55" t="s">
        <v>1157</v>
      </c>
      <c r="U257" s="55" t="s">
        <v>1145</v>
      </c>
      <c r="V257" s="55" t="s">
        <v>1153</v>
      </c>
      <c r="W257" s="55" t="s">
        <v>1147</v>
      </c>
      <c r="X257" s="55" t="s">
        <v>1159</v>
      </c>
      <c r="Y257" s="55" t="s">
        <v>1293</v>
      </c>
      <c r="Z257" s="55" t="s">
        <v>1185</v>
      </c>
    </row>
    <row r="258" spans="1:26">
      <c r="A258" s="55" t="s">
        <v>802</v>
      </c>
      <c r="B258" s="55" t="s">
        <v>272</v>
      </c>
      <c r="C258" s="55" t="s">
        <v>1142</v>
      </c>
      <c r="D258" s="55" t="s">
        <v>1143</v>
      </c>
      <c r="E258" s="55" t="s">
        <v>1143</v>
      </c>
      <c r="F258" s="55" t="s">
        <v>73</v>
      </c>
      <c r="G258" s="56">
        <v>1</v>
      </c>
      <c r="H258" s="56">
        <v>1</v>
      </c>
      <c r="I258" s="56">
        <v>0</v>
      </c>
      <c r="J258" s="56">
        <v>14</v>
      </c>
      <c r="K258" s="56">
        <v>0</v>
      </c>
      <c r="L258" s="56">
        <v>8150212.61</v>
      </c>
      <c r="M258" s="56">
        <v>2058395.22</v>
      </c>
      <c r="N258" s="56">
        <v>8150212.609999998</v>
      </c>
      <c r="O258" s="56">
        <v>14</v>
      </c>
      <c r="P258" s="56">
        <v>0</v>
      </c>
      <c r="Q258" s="56">
        <v>0</v>
      </c>
      <c r="R258" s="56">
        <v>0</v>
      </c>
      <c r="S258" s="56">
        <v>0</v>
      </c>
      <c r="T258" s="55" t="s">
        <v>1152</v>
      </c>
      <c r="U258" s="55" t="s">
        <v>1145</v>
      </c>
      <c r="V258" s="55" t="s">
        <v>1153</v>
      </c>
      <c r="W258" s="55" t="s">
        <v>1168</v>
      </c>
      <c r="X258" s="55" t="s">
        <v>1159</v>
      </c>
      <c r="Y258" s="55" t="s">
        <v>1294</v>
      </c>
      <c r="Z258" s="55" t="s">
        <v>1193</v>
      </c>
    </row>
    <row r="259" spans="1:26">
      <c r="A259" s="55" t="s">
        <v>803</v>
      </c>
      <c r="B259" s="55" t="s">
        <v>546</v>
      </c>
      <c r="C259" s="55" t="s">
        <v>1151</v>
      </c>
      <c r="D259" s="55" t="s">
        <v>87</v>
      </c>
      <c r="E259" s="55" t="s">
        <v>87</v>
      </c>
      <c r="F259" s="55" t="s">
        <v>75</v>
      </c>
      <c r="G259" s="56">
        <v>5</v>
      </c>
      <c r="H259" s="56">
        <v>5</v>
      </c>
      <c r="I259" s="56">
        <v>391</v>
      </c>
      <c r="J259" s="56">
        <v>17</v>
      </c>
      <c r="K259" s="56">
        <v>0</v>
      </c>
      <c r="L259" s="56">
        <v>0</v>
      </c>
      <c r="M259" s="56">
        <v>991311.04</v>
      </c>
      <c r="N259" s="56">
        <v>7689430.76</v>
      </c>
      <c r="O259" s="56">
        <v>98</v>
      </c>
      <c r="P259" s="56">
        <v>1</v>
      </c>
      <c r="Q259" s="56">
        <v>0</v>
      </c>
      <c r="R259" s="56">
        <v>1</v>
      </c>
      <c r="S259" s="56">
        <v>1</v>
      </c>
      <c r="T259" s="55" t="s">
        <v>1227</v>
      </c>
      <c r="U259" s="55" t="s">
        <v>1165</v>
      </c>
      <c r="V259" s="55" t="s">
        <v>1146</v>
      </c>
      <c r="W259" s="55" t="s">
        <v>1168</v>
      </c>
      <c r="X259" s="55" t="s">
        <v>1159</v>
      </c>
      <c r="Y259" s="55" t="s">
        <v>1294</v>
      </c>
    </row>
    <row r="260" spans="1:26">
      <c r="A260" s="55" t="s">
        <v>804</v>
      </c>
      <c r="B260" s="55" t="s">
        <v>272</v>
      </c>
      <c r="C260" s="55" t="s">
        <v>1187</v>
      </c>
      <c r="D260" s="55" t="s">
        <v>1143</v>
      </c>
      <c r="E260" s="55" t="s">
        <v>1188</v>
      </c>
      <c r="F260" s="55" t="s">
        <v>73</v>
      </c>
      <c r="G260" s="56">
        <v>1</v>
      </c>
      <c r="H260" s="56">
        <v>2</v>
      </c>
      <c r="I260" s="56">
        <v>0</v>
      </c>
      <c r="J260" s="56">
        <v>52</v>
      </c>
      <c r="K260" s="56">
        <v>0</v>
      </c>
      <c r="L260" s="56">
        <v>9619400.73</v>
      </c>
      <c r="M260" s="56">
        <v>3467407.57</v>
      </c>
      <c r="N260" s="56">
        <v>9619400.73</v>
      </c>
      <c r="O260" s="56">
        <v>97</v>
      </c>
      <c r="P260" s="56">
        <v>0</v>
      </c>
      <c r="Q260" s="56">
        <v>0</v>
      </c>
      <c r="R260" s="56">
        <v>0</v>
      </c>
      <c r="S260" s="56">
        <v>0</v>
      </c>
      <c r="T260" s="55" t="s">
        <v>1152</v>
      </c>
      <c r="U260" s="55" t="s">
        <v>1145</v>
      </c>
      <c r="V260" s="55" t="s">
        <v>1146</v>
      </c>
      <c r="W260" s="55" t="s">
        <v>1168</v>
      </c>
      <c r="X260" s="55" t="s">
        <v>1154</v>
      </c>
      <c r="Y260" s="55" t="s">
        <v>1294</v>
      </c>
      <c r="Z260" s="55" t="s">
        <v>1230</v>
      </c>
    </row>
    <row r="261" spans="1:26">
      <c r="A261" s="55" t="s">
        <v>805</v>
      </c>
      <c r="B261" s="55" t="s">
        <v>272</v>
      </c>
      <c r="C261" s="55" t="s">
        <v>1142</v>
      </c>
      <c r="D261" s="55" t="s">
        <v>1143</v>
      </c>
      <c r="E261" s="55" t="s">
        <v>1143</v>
      </c>
      <c r="F261" s="55" t="s">
        <v>73</v>
      </c>
      <c r="G261" s="56">
        <v>1</v>
      </c>
      <c r="H261" s="56">
        <v>1</v>
      </c>
      <c r="I261" s="56">
        <v>0</v>
      </c>
      <c r="J261" s="56">
        <v>2</v>
      </c>
      <c r="K261" s="56">
        <v>0</v>
      </c>
      <c r="L261" s="56">
        <v>0</v>
      </c>
      <c r="M261" s="56">
        <v>596000</v>
      </c>
      <c r="N261" s="56">
        <v>115200000</v>
      </c>
      <c r="O261" s="56">
        <v>27</v>
      </c>
      <c r="P261" s="56">
        <v>1</v>
      </c>
      <c r="Q261" s="56">
        <v>0</v>
      </c>
      <c r="R261" s="56">
        <v>0</v>
      </c>
      <c r="S261" s="56">
        <v>0</v>
      </c>
      <c r="T261" s="55" t="s">
        <v>1152</v>
      </c>
      <c r="U261" s="55" t="s">
        <v>1165</v>
      </c>
      <c r="V261" s="55" t="s">
        <v>1146</v>
      </c>
      <c r="W261" s="55" t="s">
        <v>1168</v>
      </c>
      <c r="X261" s="55" t="s">
        <v>1295</v>
      </c>
      <c r="Y261" s="55" t="s">
        <v>1294</v>
      </c>
      <c r="Z261" s="55" t="s">
        <v>1193</v>
      </c>
    </row>
    <row r="262" spans="1:26">
      <c r="A262" s="55" t="s">
        <v>806</v>
      </c>
      <c r="B262" s="55" t="s">
        <v>272</v>
      </c>
      <c r="C262" s="55" t="s">
        <v>1236</v>
      </c>
      <c r="D262" s="55" t="s">
        <v>86</v>
      </c>
      <c r="E262" s="55" t="s">
        <v>86</v>
      </c>
      <c r="F262" s="55" t="s">
        <v>75</v>
      </c>
      <c r="G262" s="56">
        <v>4</v>
      </c>
      <c r="H262" s="56">
        <v>4</v>
      </c>
      <c r="I262" s="56">
        <v>127</v>
      </c>
      <c r="J262" s="56">
        <v>2</v>
      </c>
      <c r="K262" s="56">
        <v>1</v>
      </c>
      <c r="L262" s="56">
        <v>0</v>
      </c>
      <c r="M262" s="56">
        <v>5754790.66</v>
      </c>
      <c r="N262" s="56">
        <v>95090570.52</v>
      </c>
      <c r="O262" s="56">
        <v>44</v>
      </c>
      <c r="P262" s="56">
        <v>1</v>
      </c>
      <c r="Q262" s="56">
        <v>1</v>
      </c>
      <c r="R262" s="56">
        <v>1</v>
      </c>
      <c r="S262" s="56">
        <v>1</v>
      </c>
      <c r="T262" s="55" t="s">
        <v>1173</v>
      </c>
      <c r="U262" s="55" t="s">
        <v>1165</v>
      </c>
      <c r="V262" s="55" t="s">
        <v>1146</v>
      </c>
      <c r="W262" s="55" t="s">
        <v>1180</v>
      </c>
      <c r="X262" s="55" t="s">
        <v>1159</v>
      </c>
      <c r="Y262" s="55" t="s">
        <v>1294</v>
      </c>
      <c r="Z262" s="55" t="s">
        <v>1164</v>
      </c>
    </row>
    <row r="263" spans="1:26">
      <c r="A263" s="55" t="s">
        <v>807</v>
      </c>
      <c r="B263" s="55" t="s">
        <v>563</v>
      </c>
      <c r="C263" s="55" t="s">
        <v>1191</v>
      </c>
      <c r="D263" s="55" t="s">
        <v>1188</v>
      </c>
      <c r="E263" s="55" t="s">
        <v>1188</v>
      </c>
      <c r="F263" s="55" t="s">
        <v>74</v>
      </c>
      <c r="G263" s="56">
        <v>2</v>
      </c>
      <c r="H263" s="56">
        <v>2</v>
      </c>
      <c r="I263" s="56">
        <v>57</v>
      </c>
      <c r="J263" s="56">
        <v>77</v>
      </c>
      <c r="K263" s="56">
        <v>1</v>
      </c>
      <c r="L263" s="56">
        <v>2294867.53</v>
      </c>
      <c r="M263" s="56">
        <v>1027081.95</v>
      </c>
      <c r="N263" s="56">
        <v>2294867.53</v>
      </c>
      <c r="O263" s="56">
        <v>48</v>
      </c>
      <c r="P263" s="56">
        <v>0</v>
      </c>
      <c r="Q263" s="56">
        <v>0</v>
      </c>
      <c r="R263" s="56">
        <v>0</v>
      </c>
      <c r="S263" s="56">
        <v>1</v>
      </c>
      <c r="T263" s="55" t="s">
        <v>1162</v>
      </c>
      <c r="U263" s="55" t="s">
        <v>1145</v>
      </c>
      <c r="V263" s="55" t="s">
        <v>1153</v>
      </c>
      <c r="W263" s="55" t="s">
        <v>1180</v>
      </c>
      <c r="X263" s="55" t="s">
        <v>1221</v>
      </c>
      <c r="Y263" s="55" t="s">
        <v>1296</v>
      </c>
      <c r="Z263" s="55" t="s">
        <v>1166</v>
      </c>
    </row>
    <row r="264" spans="1:26">
      <c r="A264" s="55" t="s">
        <v>808</v>
      </c>
      <c r="B264" s="55" t="s">
        <v>546</v>
      </c>
      <c r="C264" s="55" t="s">
        <v>1151</v>
      </c>
      <c r="D264" s="55" t="s">
        <v>87</v>
      </c>
      <c r="E264" s="55" t="s">
        <v>87</v>
      </c>
      <c r="F264" s="55" t="s">
        <v>75</v>
      </c>
      <c r="G264" s="56">
        <v>5</v>
      </c>
      <c r="H264" s="56">
        <v>5</v>
      </c>
      <c r="I264" s="56">
        <v>279</v>
      </c>
      <c r="J264" s="56">
        <v>10</v>
      </c>
      <c r="K264" s="56">
        <v>0</v>
      </c>
      <c r="L264" s="56">
        <v>0</v>
      </c>
      <c r="M264" s="56">
        <v>0</v>
      </c>
      <c r="N264" s="56">
        <v>62279.34</v>
      </c>
      <c r="O264" s="56">
        <v>88</v>
      </c>
      <c r="P264" s="56">
        <v>1</v>
      </c>
      <c r="Q264" s="56">
        <v>0</v>
      </c>
      <c r="R264" s="56">
        <v>1</v>
      </c>
      <c r="S264" s="56">
        <v>1</v>
      </c>
      <c r="T264" s="55" t="s">
        <v>1173</v>
      </c>
      <c r="U264" s="55" t="s">
        <v>1145</v>
      </c>
      <c r="V264" s="55" t="s">
        <v>1146</v>
      </c>
      <c r="W264" s="55" t="s">
        <v>1181</v>
      </c>
      <c r="X264" s="55" t="s">
        <v>1159</v>
      </c>
      <c r="Y264" s="55" t="s">
        <v>1286</v>
      </c>
      <c r="Z264" s="55" t="s">
        <v>1226</v>
      </c>
    </row>
    <row r="265" spans="1:26">
      <c r="A265" s="55" t="s">
        <v>809</v>
      </c>
      <c r="B265" s="55" t="s">
        <v>272</v>
      </c>
      <c r="C265" s="55" t="s">
        <v>1142</v>
      </c>
      <c r="D265" s="55" t="s">
        <v>1143</v>
      </c>
      <c r="E265" s="55" t="s">
        <v>1143</v>
      </c>
      <c r="F265" s="55" t="s">
        <v>73</v>
      </c>
      <c r="G265" s="56">
        <v>1</v>
      </c>
      <c r="H265" s="56">
        <v>1</v>
      </c>
      <c r="I265" s="56">
        <v>0</v>
      </c>
      <c r="J265" s="56">
        <v>62</v>
      </c>
      <c r="K265" s="56">
        <v>0</v>
      </c>
      <c r="L265" s="56">
        <v>538920</v>
      </c>
      <c r="M265" s="56">
        <v>1093856.24</v>
      </c>
      <c r="N265" s="56">
        <v>689258.4</v>
      </c>
      <c r="O265" s="56">
        <v>19</v>
      </c>
      <c r="P265" s="56">
        <v>0</v>
      </c>
      <c r="Q265" s="56">
        <v>0</v>
      </c>
      <c r="R265" s="56">
        <v>0</v>
      </c>
      <c r="S265" s="56">
        <v>0</v>
      </c>
      <c r="T265" s="55" t="s">
        <v>1167</v>
      </c>
      <c r="U265" s="55" t="s">
        <v>1165</v>
      </c>
      <c r="V265" s="55" t="s">
        <v>1146</v>
      </c>
      <c r="W265" s="55" t="s">
        <v>1147</v>
      </c>
      <c r="X265" s="55" t="s">
        <v>1154</v>
      </c>
      <c r="Y265" s="55" t="s">
        <v>1296</v>
      </c>
      <c r="Z265" s="55" t="s">
        <v>1186</v>
      </c>
    </row>
    <row r="266" spans="1:26">
      <c r="A266" s="55" t="s">
        <v>810</v>
      </c>
      <c r="B266" s="55" t="s">
        <v>272</v>
      </c>
      <c r="C266" s="55" t="s">
        <v>1142</v>
      </c>
      <c r="D266" s="55" t="s">
        <v>1143</v>
      </c>
      <c r="E266" s="55" t="s">
        <v>1143</v>
      </c>
      <c r="F266" s="55" t="s">
        <v>73</v>
      </c>
      <c r="G266" s="56">
        <v>1</v>
      </c>
      <c r="H266" s="56">
        <v>1</v>
      </c>
      <c r="I266" s="56">
        <v>0</v>
      </c>
      <c r="J266" s="56">
        <v>26</v>
      </c>
      <c r="K266" s="56">
        <v>0</v>
      </c>
      <c r="L266" s="56">
        <v>71266799.95</v>
      </c>
      <c r="M266" s="56">
        <v>47220401.3</v>
      </c>
      <c r="N266" s="56">
        <v>858597857.15</v>
      </c>
      <c r="O266" s="56">
        <v>119</v>
      </c>
      <c r="P266" s="56">
        <v>0</v>
      </c>
      <c r="Q266" s="56">
        <v>0</v>
      </c>
      <c r="R266" s="56">
        <v>0</v>
      </c>
      <c r="S266" s="56">
        <v>0</v>
      </c>
      <c r="T266" s="55" t="s">
        <v>1152</v>
      </c>
      <c r="U266" s="55" t="s">
        <v>1145</v>
      </c>
      <c r="V266" s="55" t="s">
        <v>1146</v>
      </c>
      <c r="W266" s="55" t="s">
        <v>1168</v>
      </c>
      <c r="X266" s="55" t="s">
        <v>1154</v>
      </c>
      <c r="Y266" s="55" t="s">
        <v>1286</v>
      </c>
      <c r="Z266" s="55" t="s">
        <v>1150</v>
      </c>
    </row>
    <row r="267" spans="1:26">
      <c r="A267" s="55" t="s">
        <v>811</v>
      </c>
      <c r="B267" s="55" t="s">
        <v>272</v>
      </c>
      <c r="C267" s="55" t="s">
        <v>1187</v>
      </c>
      <c r="D267" s="55" t="s">
        <v>1188</v>
      </c>
      <c r="E267" s="55" t="s">
        <v>1188</v>
      </c>
      <c r="F267" s="55" t="s">
        <v>74</v>
      </c>
      <c r="G267" s="56">
        <v>2</v>
      </c>
      <c r="H267" s="56">
        <v>2</v>
      </c>
      <c r="I267" s="56">
        <v>33</v>
      </c>
      <c r="J267" s="56">
        <v>2</v>
      </c>
      <c r="K267" s="56">
        <v>2</v>
      </c>
      <c r="L267" s="56">
        <v>11920000</v>
      </c>
      <c r="M267" s="56">
        <v>231349.68</v>
      </c>
      <c r="N267" s="56">
        <v>4626993.5</v>
      </c>
      <c r="O267" s="56">
        <v>58</v>
      </c>
      <c r="P267" s="56">
        <v>0</v>
      </c>
      <c r="Q267" s="56">
        <v>0</v>
      </c>
      <c r="R267" s="56">
        <v>0</v>
      </c>
      <c r="S267" s="56">
        <v>1</v>
      </c>
      <c r="T267" s="55" t="s">
        <v>1157</v>
      </c>
      <c r="U267" s="55" t="s">
        <v>1145</v>
      </c>
      <c r="V267" s="55" t="s">
        <v>1153</v>
      </c>
      <c r="W267" s="55" t="s">
        <v>1168</v>
      </c>
      <c r="X267" s="55" t="s">
        <v>1154</v>
      </c>
      <c r="Y267" s="55" t="s">
        <v>1286</v>
      </c>
      <c r="Z267" s="55" t="s">
        <v>1166</v>
      </c>
    </row>
    <row r="268" spans="1:26">
      <c r="A268" s="55" t="s">
        <v>812</v>
      </c>
      <c r="B268" s="55" t="s">
        <v>272</v>
      </c>
      <c r="C268" s="55" t="s">
        <v>1236</v>
      </c>
      <c r="D268" s="55" t="s">
        <v>87</v>
      </c>
      <c r="E268" s="55" t="s">
        <v>87</v>
      </c>
      <c r="F268" s="55" t="s">
        <v>75</v>
      </c>
      <c r="G268" s="56">
        <v>5</v>
      </c>
      <c r="H268" s="56">
        <v>5</v>
      </c>
      <c r="I268" s="56">
        <v>215</v>
      </c>
      <c r="J268" s="56">
        <v>462</v>
      </c>
      <c r="K268" s="56">
        <v>0</v>
      </c>
      <c r="L268" s="56">
        <v>13016631.37</v>
      </c>
      <c r="M268" s="56">
        <v>8424898.279999999</v>
      </c>
      <c r="N268" s="56">
        <v>13016631.37</v>
      </c>
      <c r="O268" s="56">
        <v>44</v>
      </c>
      <c r="P268" s="56">
        <v>0</v>
      </c>
      <c r="Q268" s="56">
        <v>0</v>
      </c>
      <c r="R268" s="56">
        <v>1</v>
      </c>
      <c r="S268" s="56">
        <v>1</v>
      </c>
      <c r="T268" s="55" t="s">
        <v>1157</v>
      </c>
      <c r="U268" s="55" t="s">
        <v>1165</v>
      </c>
      <c r="V268" s="55" t="s">
        <v>1153</v>
      </c>
      <c r="W268" s="55" t="s">
        <v>1147</v>
      </c>
      <c r="X268" s="55" t="s">
        <v>1154</v>
      </c>
      <c r="Y268" s="55" t="s">
        <v>1297</v>
      </c>
      <c r="Z268" s="55" t="s">
        <v>1230</v>
      </c>
    </row>
    <row r="269" spans="1:26">
      <c r="A269" s="55" t="s">
        <v>813</v>
      </c>
      <c r="B269" s="55" t="s">
        <v>272</v>
      </c>
      <c r="C269" s="55" t="s">
        <v>1142</v>
      </c>
      <c r="D269" s="55" t="s">
        <v>1143</v>
      </c>
      <c r="E269" s="55" t="s">
        <v>1143</v>
      </c>
      <c r="F269" s="55" t="s">
        <v>73</v>
      </c>
      <c r="G269" s="56">
        <v>1</v>
      </c>
      <c r="H269" s="56">
        <v>1</v>
      </c>
      <c r="I269" s="56">
        <v>0</v>
      </c>
      <c r="J269" s="56">
        <v>2</v>
      </c>
      <c r="K269" s="56">
        <v>0</v>
      </c>
      <c r="L269" s="56">
        <v>0</v>
      </c>
      <c r="M269" s="56">
        <v>0</v>
      </c>
      <c r="N269" s="56">
        <v>0</v>
      </c>
      <c r="O269" s="56">
        <v>121</v>
      </c>
      <c r="P269" s="56">
        <v>1</v>
      </c>
      <c r="Q269" s="56">
        <v>0</v>
      </c>
      <c r="R269" s="56">
        <v>0</v>
      </c>
      <c r="S269" s="56">
        <v>0</v>
      </c>
      <c r="T269" s="55" t="s">
        <v>1167</v>
      </c>
      <c r="U269" s="55" t="s">
        <v>1165</v>
      </c>
      <c r="V269" s="55" t="s">
        <v>1153</v>
      </c>
      <c r="W269" s="55" t="s">
        <v>1147</v>
      </c>
      <c r="X269" s="55" t="s">
        <v>1148</v>
      </c>
      <c r="Y269" s="55" t="s">
        <v>1293</v>
      </c>
      <c r="Z269" s="55" t="s">
        <v>1185</v>
      </c>
    </row>
    <row r="270" spans="1:26">
      <c r="A270" s="55" t="s">
        <v>814</v>
      </c>
      <c r="B270" s="55" t="s">
        <v>546</v>
      </c>
      <c r="C270" s="55" t="s">
        <v>1151</v>
      </c>
      <c r="D270" s="55" t="s">
        <v>87</v>
      </c>
      <c r="E270" s="55" t="s">
        <v>87</v>
      </c>
      <c r="F270" s="55" t="s">
        <v>75</v>
      </c>
      <c r="G270" s="56">
        <v>5</v>
      </c>
      <c r="H270" s="56">
        <v>5</v>
      </c>
      <c r="I270" s="56">
        <v>705</v>
      </c>
      <c r="J270" s="56">
        <v>48</v>
      </c>
      <c r="K270" s="56">
        <v>0</v>
      </c>
      <c r="L270" s="56">
        <v>1226928.4</v>
      </c>
      <c r="M270" s="56">
        <v>2871658.49</v>
      </c>
      <c r="N270" s="56">
        <v>1529224.9</v>
      </c>
      <c r="O270" s="56">
        <v>83</v>
      </c>
      <c r="P270" s="56">
        <v>0</v>
      </c>
      <c r="Q270" s="56">
        <v>0</v>
      </c>
      <c r="R270" s="56">
        <v>1</v>
      </c>
      <c r="S270" s="56">
        <v>1</v>
      </c>
      <c r="T270" s="55" t="s">
        <v>1227</v>
      </c>
      <c r="U270" s="55" t="s">
        <v>1165</v>
      </c>
      <c r="V270" s="55" t="s">
        <v>1146</v>
      </c>
      <c r="W270" s="55" t="s">
        <v>1168</v>
      </c>
      <c r="X270" s="55" t="s">
        <v>1154</v>
      </c>
      <c r="Y270" s="55" t="s">
        <v>1297</v>
      </c>
      <c r="Z270" s="55" t="s">
        <v>1185</v>
      </c>
    </row>
    <row r="271" spans="1:26">
      <c r="A271" s="55" t="s">
        <v>815</v>
      </c>
      <c r="B271" s="55" t="s">
        <v>272</v>
      </c>
      <c r="C271" s="55" t="s">
        <v>1142</v>
      </c>
      <c r="D271" s="55" t="s">
        <v>1143</v>
      </c>
      <c r="E271" s="55" t="s">
        <v>1143</v>
      </c>
      <c r="F271" s="55" t="s">
        <v>73</v>
      </c>
      <c r="G271" s="56">
        <v>1</v>
      </c>
      <c r="H271" s="56">
        <v>1</v>
      </c>
      <c r="I271" s="56">
        <v>0</v>
      </c>
      <c r="J271" s="56">
        <v>5</v>
      </c>
      <c r="K271" s="56">
        <v>0</v>
      </c>
      <c r="L271" s="56">
        <v>3390000</v>
      </c>
      <c r="M271" s="56">
        <v>11819825.26</v>
      </c>
      <c r="N271" s="56">
        <v>256984375.1</v>
      </c>
      <c r="O271" s="56">
        <v>47</v>
      </c>
      <c r="P271" s="56">
        <v>0</v>
      </c>
      <c r="Q271" s="56">
        <v>0</v>
      </c>
      <c r="R271" s="56">
        <v>0</v>
      </c>
      <c r="S271" s="56">
        <v>0</v>
      </c>
      <c r="T271" s="55" t="s">
        <v>1157</v>
      </c>
      <c r="U271" s="55" t="s">
        <v>1145</v>
      </c>
      <c r="V271" s="55" t="s">
        <v>1146</v>
      </c>
      <c r="W271" s="55" t="s">
        <v>1180</v>
      </c>
      <c r="X271" s="55" t="s">
        <v>1154</v>
      </c>
      <c r="Y271" s="55" t="s">
        <v>1298</v>
      </c>
      <c r="Z271" s="55" t="s">
        <v>1150</v>
      </c>
    </row>
    <row r="272" spans="1:26">
      <c r="A272" s="55" t="s">
        <v>816</v>
      </c>
      <c r="B272" s="55" t="s">
        <v>272</v>
      </c>
      <c r="C272" s="55" t="s">
        <v>1142</v>
      </c>
      <c r="D272" s="55" t="s">
        <v>1143</v>
      </c>
      <c r="E272" s="55" t="s">
        <v>1143</v>
      </c>
      <c r="F272" s="55" t="s">
        <v>73</v>
      </c>
      <c r="G272" s="56">
        <v>1</v>
      </c>
      <c r="H272" s="56">
        <v>1</v>
      </c>
      <c r="I272" s="56">
        <v>0</v>
      </c>
      <c r="J272" s="56">
        <v>10</v>
      </c>
      <c r="K272" s="56">
        <v>0</v>
      </c>
      <c r="L272" s="56">
        <v>8392104.939999999</v>
      </c>
      <c r="M272" s="56">
        <v>5232919.87</v>
      </c>
      <c r="N272" s="56">
        <v>8392104.940000001</v>
      </c>
      <c r="O272" s="56">
        <v>10</v>
      </c>
      <c r="P272" s="56">
        <v>0</v>
      </c>
      <c r="Q272" s="56">
        <v>0</v>
      </c>
      <c r="R272" s="56">
        <v>0</v>
      </c>
      <c r="S272" s="56">
        <v>0</v>
      </c>
      <c r="T272" s="55" t="s">
        <v>1162</v>
      </c>
      <c r="U272" s="55" t="s">
        <v>1165</v>
      </c>
      <c r="V272" s="55" t="s">
        <v>1153</v>
      </c>
      <c r="W272" s="55" t="s">
        <v>1147</v>
      </c>
      <c r="X272" s="55" t="s">
        <v>1148</v>
      </c>
      <c r="Y272" s="55" t="s">
        <v>1149</v>
      </c>
      <c r="Z272" s="55" t="s">
        <v>1220</v>
      </c>
    </row>
    <row r="273" spans="1:26">
      <c r="A273" s="55" t="s">
        <v>817</v>
      </c>
      <c r="B273" s="55" t="s">
        <v>272</v>
      </c>
      <c r="C273" s="55" t="s">
        <v>1142</v>
      </c>
      <c r="D273" s="55" t="s">
        <v>1143</v>
      </c>
      <c r="E273" s="55" t="s">
        <v>1143</v>
      </c>
      <c r="F273" s="55" t="s">
        <v>73</v>
      </c>
      <c r="G273" s="56">
        <v>1</v>
      </c>
      <c r="H273" s="56">
        <v>1</v>
      </c>
      <c r="I273" s="56">
        <v>0</v>
      </c>
      <c r="J273" s="56">
        <v>7</v>
      </c>
      <c r="K273" s="56">
        <v>0</v>
      </c>
      <c r="L273" s="56">
        <v>0</v>
      </c>
      <c r="M273" s="56">
        <v>4553216.02</v>
      </c>
      <c r="N273" s="56">
        <v>90005619.59999999</v>
      </c>
      <c r="O273" s="56">
        <v>129</v>
      </c>
      <c r="P273" s="56">
        <v>1</v>
      </c>
      <c r="Q273" s="56">
        <v>0</v>
      </c>
      <c r="R273" s="56">
        <v>0</v>
      </c>
      <c r="S273" s="56">
        <v>0</v>
      </c>
      <c r="T273" s="55" t="s">
        <v>1152</v>
      </c>
      <c r="U273" s="55" t="s">
        <v>1145</v>
      </c>
      <c r="V273" s="55" t="s">
        <v>1146</v>
      </c>
      <c r="W273" s="55" t="s">
        <v>1168</v>
      </c>
      <c r="X273" s="55" t="s">
        <v>1154</v>
      </c>
      <c r="Y273" s="55" t="s">
        <v>1256</v>
      </c>
      <c r="Z273" s="55" t="s">
        <v>1196</v>
      </c>
    </row>
    <row r="274" spans="1:26">
      <c r="A274" s="55" t="s">
        <v>818</v>
      </c>
      <c r="B274" s="55" t="s">
        <v>563</v>
      </c>
      <c r="C274" s="55" t="s">
        <v>1191</v>
      </c>
      <c r="D274" s="55" t="s">
        <v>1143</v>
      </c>
      <c r="E274" s="55" t="s">
        <v>1143</v>
      </c>
      <c r="F274" s="55" t="s">
        <v>73</v>
      </c>
      <c r="G274" s="56">
        <v>1</v>
      </c>
      <c r="H274" s="56">
        <v>1</v>
      </c>
      <c r="I274" s="56">
        <v>0</v>
      </c>
      <c r="J274" s="56">
        <v>37</v>
      </c>
      <c r="K274" s="56">
        <v>0</v>
      </c>
      <c r="L274" s="56">
        <v>0</v>
      </c>
      <c r="M274" s="56">
        <v>64946173.94</v>
      </c>
      <c r="N274" s="56">
        <v>249717091.87</v>
      </c>
      <c r="O274" s="56">
        <v>64</v>
      </c>
      <c r="P274" s="56">
        <v>1</v>
      </c>
      <c r="Q274" s="56">
        <v>0</v>
      </c>
      <c r="R274" s="56">
        <v>0</v>
      </c>
      <c r="S274" s="56">
        <v>0</v>
      </c>
      <c r="T274" s="55" t="s">
        <v>1144</v>
      </c>
      <c r="U274" s="55" t="s">
        <v>1145</v>
      </c>
      <c r="V274" s="55" t="s">
        <v>1146</v>
      </c>
      <c r="W274" s="55" t="s">
        <v>1168</v>
      </c>
      <c r="X274" s="55" t="s">
        <v>1154</v>
      </c>
      <c r="Y274" s="55" t="s">
        <v>1298</v>
      </c>
      <c r="Z274" s="55" t="s">
        <v>1193</v>
      </c>
    </row>
    <row r="275" spans="1:26">
      <c r="A275" s="55" t="s">
        <v>819</v>
      </c>
      <c r="B275" s="55" t="s">
        <v>272</v>
      </c>
      <c r="C275" s="55" t="s">
        <v>1142</v>
      </c>
      <c r="D275" s="55" t="s">
        <v>1143</v>
      </c>
      <c r="E275" s="55" t="s">
        <v>1143</v>
      </c>
      <c r="F275" s="55" t="s">
        <v>73</v>
      </c>
      <c r="G275" s="56">
        <v>1</v>
      </c>
      <c r="H275" s="56">
        <v>1</v>
      </c>
      <c r="I275" s="56">
        <v>0</v>
      </c>
      <c r="J275" s="56">
        <v>8</v>
      </c>
      <c r="K275" s="56">
        <v>0</v>
      </c>
      <c r="L275" s="56">
        <v>22350000</v>
      </c>
      <c r="M275" s="56">
        <v>297916.83</v>
      </c>
      <c r="N275" s="56">
        <v>5958336.67</v>
      </c>
      <c r="O275" s="56">
        <v>22</v>
      </c>
      <c r="P275" s="56">
        <v>0</v>
      </c>
      <c r="Q275" s="56">
        <v>0</v>
      </c>
      <c r="R275" s="56">
        <v>0</v>
      </c>
      <c r="S275" s="56">
        <v>0</v>
      </c>
      <c r="T275" s="55" t="s">
        <v>1157</v>
      </c>
      <c r="U275" s="55" t="s">
        <v>1165</v>
      </c>
      <c r="V275" s="55" t="s">
        <v>1153</v>
      </c>
      <c r="W275" s="55" t="s">
        <v>1180</v>
      </c>
      <c r="X275" s="55" t="s">
        <v>1154</v>
      </c>
      <c r="Y275" s="55" t="s">
        <v>1155</v>
      </c>
      <c r="Z275" s="55" t="s">
        <v>1166</v>
      </c>
    </row>
    <row r="276" spans="1:26">
      <c r="A276" s="55" t="s">
        <v>820</v>
      </c>
      <c r="B276" s="55" t="s">
        <v>272</v>
      </c>
      <c r="C276" s="55" t="s">
        <v>1187</v>
      </c>
      <c r="D276" s="55" t="s">
        <v>1188</v>
      </c>
      <c r="E276" s="55" t="s">
        <v>1188</v>
      </c>
      <c r="F276" s="55" t="s">
        <v>74</v>
      </c>
      <c r="G276" s="56">
        <v>2</v>
      </c>
      <c r="H276" s="56">
        <v>2</v>
      </c>
      <c r="I276" s="56">
        <v>0</v>
      </c>
      <c r="J276" s="56">
        <v>1</v>
      </c>
      <c r="K276" s="56">
        <v>1</v>
      </c>
      <c r="L276" s="56">
        <v>37250000</v>
      </c>
      <c r="M276" s="56">
        <v>489884.18</v>
      </c>
      <c r="N276" s="56">
        <v>9797683.640000001</v>
      </c>
      <c r="O276" s="56">
        <v>19</v>
      </c>
      <c r="P276" s="56">
        <v>0</v>
      </c>
      <c r="Q276" s="56">
        <v>0</v>
      </c>
      <c r="R276" s="56">
        <v>0</v>
      </c>
      <c r="S276" s="56">
        <v>0</v>
      </c>
      <c r="T276" s="55" t="s">
        <v>1152</v>
      </c>
      <c r="U276" s="55" t="s">
        <v>1145</v>
      </c>
      <c r="V276" s="55" t="s">
        <v>1146</v>
      </c>
      <c r="W276" s="55" t="s">
        <v>1181</v>
      </c>
      <c r="X276" s="55" t="s">
        <v>1154</v>
      </c>
      <c r="Y276" s="55" t="s">
        <v>1206</v>
      </c>
      <c r="Z276" s="55" t="s">
        <v>1229</v>
      </c>
    </row>
    <row r="277" spans="1:26">
      <c r="A277" s="55" t="s">
        <v>821</v>
      </c>
      <c r="B277" s="55" t="s">
        <v>272</v>
      </c>
      <c r="C277" s="55" t="s">
        <v>1142</v>
      </c>
      <c r="D277" s="55" t="s">
        <v>1143</v>
      </c>
      <c r="E277" s="55" t="s">
        <v>1143</v>
      </c>
      <c r="F277" s="55" t="s">
        <v>73</v>
      </c>
      <c r="G277" s="56">
        <v>1</v>
      </c>
      <c r="H277" s="56">
        <v>1</v>
      </c>
      <c r="I277" s="56">
        <v>0</v>
      </c>
      <c r="J277" s="56">
        <v>12</v>
      </c>
      <c r="K277" s="56">
        <v>0</v>
      </c>
      <c r="L277" s="56">
        <v>113836000</v>
      </c>
      <c r="M277" s="56">
        <v>11079475.86</v>
      </c>
      <c r="N277" s="56">
        <v>283692807.14</v>
      </c>
      <c r="O277" s="56">
        <v>115</v>
      </c>
      <c r="P277" s="56">
        <v>0</v>
      </c>
      <c r="Q277" s="56">
        <v>0</v>
      </c>
      <c r="R277" s="56">
        <v>0</v>
      </c>
      <c r="S277" s="56">
        <v>0</v>
      </c>
      <c r="T277" s="55" t="s">
        <v>1162</v>
      </c>
      <c r="U277" s="55" t="s">
        <v>1165</v>
      </c>
      <c r="V277" s="55" t="s">
        <v>1153</v>
      </c>
      <c r="W277" s="55" t="s">
        <v>1180</v>
      </c>
      <c r="X277" s="55" t="s">
        <v>1154</v>
      </c>
      <c r="Y277" s="55" t="s">
        <v>1216</v>
      </c>
      <c r="Z277" s="55" t="s">
        <v>1261</v>
      </c>
    </row>
    <row r="278" spans="1:26">
      <c r="A278" s="55" t="s">
        <v>822</v>
      </c>
      <c r="B278" s="55" t="s">
        <v>272</v>
      </c>
      <c r="C278" s="55" t="s">
        <v>1142</v>
      </c>
      <c r="D278" s="55" t="s">
        <v>1143</v>
      </c>
      <c r="E278" s="55" t="s">
        <v>1143</v>
      </c>
      <c r="F278" s="55" t="s">
        <v>73</v>
      </c>
      <c r="G278" s="56">
        <v>1</v>
      </c>
      <c r="H278" s="56">
        <v>1</v>
      </c>
      <c r="I278" s="56">
        <v>0</v>
      </c>
      <c r="J278" s="56">
        <v>1</v>
      </c>
      <c r="K278" s="56">
        <v>0</v>
      </c>
      <c r="L278" s="56">
        <v>0</v>
      </c>
      <c r="M278" s="56">
        <v>4785532.97</v>
      </c>
      <c r="N278" s="56">
        <v>447535000</v>
      </c>
      <c r="O278" s="56">
        <v>1</v>
      </c>
      <c r="P278" s="56">
        <v>1</v>
      </c>
      <c r="Q278" s="56">
        <v>0</v>
      </c>
      <c r="R278" s="56">
        <v>0</v>
      </c>
      <c r="S278" s="56">
        <v>0</v>
      </c>
      <c r="T278" s="55" t="s">
        <v>1144</v>
      </c>
      <c r="U278" s="55" t="s">
        <v>1145</v>
      </c>
      <c r="V278" s="55" t="s">
        <v>1146</v>
      </c>
      <c r="Z278" s="55" t="s">
        <v>1156</v>
      </c>
    </row>
    <row r="279" spans="1:26">
      <c r="A279" s="55" t="s">
        <v>823</v>
      </c>
      <c r="B279" s="55" t="s">
        <v>272</v>
      </c>
      <c r="C279" s="55" t="s">
        <v>1142</v>
      </c>
      <c r="D279" s="55" t="s">
        <v>1143</v>
      </c>
      <c r="E279" s="55" t="s">
        <v>1143</v>
      </c>
      <c r="F279" s="55" t="s">
        <v>73</v>
      </c>
      <c r="G279" s="56">
        <v>1</v>
      </c>
      <c r="H279" s="56">
        <v>1</v>
      </c>
      <c r="I279" s="56">
        <v>0</v>
      </c>
      <c r="J279" s="56">
        <v>8</v>
      </c>
      <c r="K279" s="56">
        <v>0</v>
      </c>
      <c r="L279" s="56">
        <v>385910000</v>
      </c>
      <c r="M279" s="56">
        <v>2806039.73</v>
      </c>
      <c r="N279" s="56">
        <v>56120794.5</v>
      </c>
      <c r="O279" s="56">
        <v>203</v>
      </c>
      <c r="P279" s="56">
        <v>0</v>
      </c>
      <c r="Q279" s="56">
        <v>0</v>
      </c>
      <c r="R279" s="56">
        <v>0</v>
      </c>
      <c r="S279" s="56">
        <v>0</v>
      </c>
      <c r="T279" s="55" t="s">
        <v>1162</v>
      </c>
      <c r="U279" s="55" t="s">
        <v>1145</v>
      </c>
      <c r="V279" s="55" t="s">
        <v>1153</v>
      </c>
      <c r="W279" s="55" t="s">
        <v>1168</v>
      </c>
      <c r="X279" s="55" t="s">
        <v>1154</v>
      </c>
      <c r="Y279" s="55" t="s">
        <v>1256</v>
      </c>
      <c r="Z279" s="55" t="s">
        <v>1299</v>
      </c>
    </row>
    <row r="280" spans="1:26">
      <c r="A280" s="55" t="s">
        <v>824</v>
      </c>
      <c r="B280" s="55" t="s">
        <v>272</v>
      </c>
      <c r="C280" s="55" t="s">
        <v>1142</v>
      </c>
      <c r="D280" s="55" t="s">
        <v>1143</v>
      </c>
      <c r="E280" s="55" t="s">
        <v>1143</v>
      </c>
      <c r="F280" s="55" t="s">
        <v>73</v>
      </c>
      <c r="G280" s="56">
        <v>1</v>
      </c>
      <c r="H280" s="56">
        <v>1</v>
      </c>
      <c r="I280" s="56">
        <v>0</v>
      </c>
      <c r="J280" s="56">
        <v>40</v>
      </c>
      <c r="K280" s="56">
        <v>0</v>
      </c>
      <c r="L280" s="56">
        <v>3975206.6</v>
      </c>
      <c r="M280" s="56">
        <v>5317259.48</v>
      </c>
      <c r="N280" s="56">
        <v>3975206.6</v>
      </c>
      <c r="O280" s="56">
        <v>10</v>
      </c>
      <c r="P280" s="56">
        <v>0</v>
      </c>
      <c r="Q280" s="56">
        <v>0</v>
      </c>
      <c r="R280" s="56">
        <v>0</v>
      </c>
      <c r="S280" s="56">
        <v>0</v>
      </c>
      <c r="T280" s="55" t="s">
        <v>1157</v>
      </c>
      <c r="U280" s="55" t="s">
        <v>1165</v>
      </c>
      <c r="V280" s="55" t="s">
        <v>1153</v>
      </c>
      <c r="W280" s="55" t="s">
        <v>1147</v>
      </c>
      <c r="X280" s="55" t="s">
        <v>1159</v>
      </c>
      <c r="Y280" s="55" t="s">
        <v>1300</v>
      </c>
      <c r="Z280" s="55" t="s">
        <v>1239</v>
      </c>
    </row>
    <row r="281" spans="1:26">
      <c r="A281" s="55" t="s">
        <v>825</v>
      </c>
      <c r="B281" s="55" t="s">
        <v>272</v>
      </c>
      <c r="C281" s="55" t="s">
        <v>1187</v>
      </c>
      <c r="D281" s="55" t="s">
        <v>1188</v>
      </c>
      <c r="E281" s="55" t="s">
        <v>1188</v>
      </c>
      <c r="F281" s="55" t="s">
        <v>74</v>
      </c>
      <c r="G281" s="56">
        <v>2</v>
      </c>
      <c r="H281" s="56">
        <v>2</v>
      </c>
      <c r="I281" s="56">
        <v>69</v>
      </c>
      <c r="J281" s="56">
        <v>50</v>
      </c>
      <c r="K281" s="56">
        <v>3</v>
      </c>
      <c r="L281" s="56">
        <v>5374223.35</v>
      </c>
      <c r="M281" s="56">
        <v>1189441.49</v>
      </c>
      <c r="N281" s="56">
        <v>5103947.5</v>
      </c>
      <c r="O281" s="56">
        <v>66</v>
      </c>
      <c r="P281" s="56">
        <v>0</v>
      </c>
      <c r="Q281" s="56">
        <v>0</v>
      </c>
      <c r="R281" s="56">
        <v>0</v>
      </c>
      <c r="S281" s="56">
        <v>1</v>
      </c>
      <c r="T281" s="55" t="s">
        <v>1167</v>
      </c>
      <c r="U281" s="55" t="s">
        <v>1165</v>
      </c>
      <c r="V281" s="55" t="s">
        <v>1153</v>
      </c>
      <c r="W281" s="55" t="s">
        <v>1168</v>
      </c>
      <c r="X281" s="55" t="s">
        <v>1218</v>
      </c>
      <c r="Y281" s="55" t="s">
        <v>1256</v>
      </c>
      <c r="Z281" s="55" t="s">
        <v>1239</v>
      </c>
    </row>
    <row r="282" spans="1:26">
      <c r="A282" s="55" t="s">
        <v>826</v>
      </c>
      <c r="B282" s="55" t="s">
        <v>272</v>
      </c>
      <c r="C282" s="55" t="s">
        <v>1142</v>
      </c>
      <c r="D282" s="55" t="s">
        <v>1143</v>
      </c>
      <c r="E282" s="55" t="s">
        <v>1143</v>
      </c>
      <c r="F282" s="55" t="s">
        <v>73</v>
      </c>
      <c r="G282" s="56">
        <v>1</v>
      </c>
      <c r="H282" s="56">
        <v>1</v>
      </c>
      <c r="I282" s="56">
        <v>0</v>
      </c>
      <c r="J282" s="56">
        <v>26</v>
      </c>
      <c r="K282" s="56">
        <v>0</v>
      </c>
      <c r="L282" s="56">
        <v>8645696.84</v>
      </c>
      <c r="M282" s="56">
        <v>6236601.56</v>
      </c>
      <c r="N282" s="56">
        <v>453396272.7399999</v>
      </c>
      <c r="O282" s="56">
        <v>47</v>
      </c>
      <c r="P282" s="56">
        <v>0</v>
      </c>
      <c r="Q282" s="56">
        <v>0</v>
      </c>
      <c r="R282" s="56">
        <v>0</v>
      </c>
      <c r="S282" s="56">
        <v>0</v>
      </c>
      <c r="T282" s="55" t="s">
        <v>1157</v>
      </c>
      <c r="U282" s="55" t="s">
        <v>1145</v>
      </c>
      <c r="V282" s="55" t="s">
        <v>1153</v>
      </c>
      <c r="W282" s="55" t="s">
        <v>1147</v>
      </c>
      <c r="X282" s="55" t="s">
        <v>1154</v>
      </c>
      <c r="Y282" s="55" t="s">
        <v>1256</v>
      </c>
      <c r="Z282" s="55" t="s">
        <v>1166</v>
      </c>
    </row>
    <row r="283" spans="1:26">
      <c r="A283" s="55" t="s">
        <v>827</v>
      </c>
      <c r="B283" s="55" t="s">
        <v>272</v>
      </c>
      <c r="C283" s="55" t="s">
        <v>1187</v>
      </c>
      <c r="D283" s="55" t="s">
        <v>1188</v>
      </c>
      <c r="E283" s="55" t="s">
        <v>1188</v>
      </c>
      <c r="F283" s="55" t="s">
        <v>74</v>
      </c>
      <c r="G283" s="56">
        <v>2</v>
      </c>
      <c r="H283" s="56">
        <v>2</v>
      </c>
      <c r="I283" s="56">
        <v>0</v>
      </c>
      <c r="J283" s="56">
        <v>7</v>
      </c>
      <c r="K283" s="56">
        <v>0</v>
      </c>
      <c r="L283" s="56">
        <v>0</v>
      </c>
      <c r="M283" s="56">
        <v>252951.22</v>
      </c>
      <c r="N283" s="56">
        <v>2841921.84</v>
      </c>
      <c r="O283" s="56">
        <v>11</v>
      </c>
      <c r="P283" s="56">
        <v>1</v>
      </c>
      <c r="Q283" s="56">
        <v>0</v>
      </c>
      <c r="R283" s="56">
        <v>0</v>
      </c>
      <c r="S283" s="56">
        <v>0</v>
      </c>
      <c r="T283" s="55" t="s">
        <v>1152</v>
      </c>
      <c r="U283" s="55" t="s">
        <v>1165</v>
      </c>
      <c r="V283" s="55" t="s">
        <v>1146</v>
      </c>
      <c r="W283" s="55" t="s">
        <v>1168</v>
      </c>
      <c r="X283" s="55" t="s">
        <v>1262</v>
      </c>
      <c r="Y283" s="55" t="s">
        <v>1291</v>
      </c>
      <c r="Z283" s="55" t="s">
        <v>1230</v>
      </c>
    </row>
    <row r="284" spans="1:26">
      <c r="A284" s="55" t="s">
        <v>828</v>
      </c>
      <c r="B284" s="55" t="s">
        <v>546</v>
      </c>
      <c r="C284" s="55" t="s">
        <v>1151</v>
      </c>
      <c r="D284" s="55" t="s">
        <v>87</v>
      </c>
      <c r="E284" s="55" t="s">
        <v>87</v>
      </c>
      <c r="F284" s="55" t="s">
        <v>75</v>
      </c>
      <c r="G284" s="56">
        <v>5</v>
      </c>
      <c r="H284" s="56">
        <v>5</v>
      </c>
      <c r="I284" s="56">
        <v>263</v>
      </c>
      <c r="J284" s="56">
        <v>16</v>
      </c>
      <c r="K284" s="56">
        <v>1</v>
      </c>
      <c r="L284" s="56">
        <v>0</v>
      </c>
      <c r="M284" s="56">
        <v>1129430.69</v>
      </c>
      <c r="N284" s="56">
        <v>6719327.72</v>
      </c>
      <c r="O284" s="56">
        <v>56</v>
      </c>
      <c r="P284" s="56">
        <v>1</v>
      </c>
      <c r="Q284" s="56">
        <v>1</v>
      </c>
      <c r="R284" s="56">
        <v>1</v>
      </c>
      <c r="S284" s="56">
        <v>1</v>
      </c>
      <c r="T284" s="55" t="s">
        <v>1162</v>
      </c>
      <c r="U284" s="55" t="s">
        <v>1165</v>
      </c>
      <c r="V284" s="55" t="s">
        <v>1146</v>
      </c>
      <c r="W284" s="55" t="s">
        <v>1168</v>
      </c>
      <c r="X284" s="55" t="s">
        <v>1154</v>
      </c>
      <c r="Y284" s="55" t="s">
        <v>1291</v>
      </c>
      <c r="Z284" s="55" t="s">
        <v>1185</v>
      </c>
    </row>
    <row r="285" spans="1:26">
      <c r="A285" s="55" t="s">
        <v>829</v>
      </c>
      <c r="B285" s="55" t="s">
        <v>546</v>
      </c>
      <c r="C285" s="55" t="s">
        <v>1151</v>
      </c>
      <c r="D285" s="55" t="s">
        <v>87</v>
      </c>
      <c r="E285" s="55" t="s">
        <v>87</v>
      </c>
      <c r="F285" s="55" t="s">
        <v>75</v>
      </c>
      <c r="G285" s="56">
        <v>5</v>
      </c>
      <c r="H285" s="56">
        <v>5</v>
      </c>
      <c r="I285" s="56">
        <v>275</v>
      </c>
      <c r="J285" s="56">
        <v>18</v>
      </c>
      <c r="K285" s="56">
        <v>1</v>
      </c>
      <c r="L285" s="56">
        <v>1165056.1</v>
      </c>
      <c r="M285" s="56">
        <v>7403731.78</v>
      </c>
      <c r="N285" s="56">
        <v>179158371.75</v>
      </c>
      <c r="O285" s="56">
        <v>181</v>
      </c>
      <c r="P285" s="56">
        <v>0</v>
      </c>
      <c r="Q285" s="56">
        <v>0</v>
      </c>
      <c r="R285" s="56">
        <v>1</v>
      </c>
      <c r="S285" s="56">
        <v>1</v>
      </c>
      <c r="T285" s="55" t="s">
        <v>1227</v>
      </c>
      <c r="U285" s="55" t="s">
        <v>1145</v>
      </c>
      <c r="V285" s="55" t="s">
        <v>1146</v>
      </c>
      <c r="W285" s="55" t="s">
        <v>1147</v>
      </c>
      <c r="X285" s="55" t="s">
        <v>1148</v>
      </c>
      <c r="Y285" s="55" t="s">
        <v>1284</v>
      </c>
      <c r="Z285" s="55" t="s">
        <v>1301</v>
      </c>
    </row>
    <row r="286" spans="1:26">
      <c r="A286" s="55" t="s">
        <v>830</v>
      </c>
      <c r="B286" s="55" t="s">
        <v>272</v>
      </c>
      <c r="C286" s="55" t="s">
        <v>1142</v>
      </c>
      <c r="D286" s="55" t="s">
        <v>1143</v>
      </c>
      <c r="E286" s="55" t="s">
        <v>1143</v>
      </c>
      <c r="F286" s="55" t="s">
        <v>73</v>
      </c>
      <c r="G286" s="56">
        <v>1</v>
      </c>
      <c r="H286" s="56">
        <v>1</v>
      </c>
      <c r="I286" s="56">
        <v>0</v>
      </c>
      <c r="J286" s="56">
        <v>11</v>
      </c>
      <c r="K286" s="56">
        <v>0</v>
      </c>
      <c r="L286" s="56">
        <v>533420000</v>
      </c>
      <c r="M286" s="56">
        <v>276427.2</v>
      </c>
      <c r="N286" s="56">
        <v>5528544</v>
      </c>
      <c r="O286" s="56">
        <v>330</v>
      </c>
      <c r="P286" s="56">
        <v>0</v>
      </c>
      <c r="Q286" s="56">
        <v>0</v>
      </c>
      <c r="R286" s="56">
        <v>0</v>
      </c>
      <c r="S286" s="56">
        <v>0</v>
      </c>
      <c r="T286" s="55" t="s">
        <v>1227</v>
      </c>
      <c r="U286" s="55" t="s">
        <v>1145</v>
      </c>
      <c r="V286" s="55" t="s">
        <v>1146</v>
      </c>
      <c r="W286" s="55" t="s">
        <v>1147</v>
      </c>
      <c r="X286" s="55" t="s">
        <v>1154</v>
      </c>
      <c r="Y286" s="55" t="s">
        <v>1283</v>
      </c>
      <c r="Z286" s="55" t="s">
        <v>1150</v>
      </c>
    </row>
    <row r="287" spans="1:26">
      <c r="A287" s="55" t="s">
        <v>831</v>
      </c>
      <c r="B287" s="55" t="s">
        <v>272</v>
      </c>
      <c r="C287" s="55" t="s">
        <v>1142</v>
      </c>
      <c r="D287" s="55" t="s">
        <v>1143</v>
      </c>
      <c r="E287" s="55" t="s">
        <v>1143</v>
      </c>
      <c r="F287" s="55" t="s">
        <v>73</v>
      </c>
      <c r="G287" s="56">
        <v>1</v>
      </c>
      <c r="H287" s="56">
        <v>1</v>
      </c>
      <c r="I287" s="56">
        <v>0</v>
      </c>
      <c r="J287" s="56">
        <v>4</v>
      </c>
      <c r="K287" s="56">
        <v>0</v>
      </c>
      <c r="L287" s="56">
        <v>153470000</v>
      </c>
      <c r="M287" s="56">
        <v>1757746.38</v>
      </c>
      <c r="N287" s="56">
        <v>35154927.6</v>
      </c>
      <c r="O287" s="56">
        <v>192</v>
      </c>
      <c r="P287" s="56">
        <v>0</v>
      </c>
      <c r="Q287" s="56">
        <v>0</v>
      </c>
      <c r="R287" s="56">
        <v>0</v>
      </c>
      <c r="S287" s="56">
        <v>0</v>
      </c>
      <c r="T287" s="55" t="s">
        <v>1173</v>
      </c>
      <c r="U287" s="55" t="s">
        <v>1165</v>
      </c>
      <c r="V287" s="55" t="s">
        <v>1146</v>
      </c>
      <c r="W287" s="55" t="s">
        <v>1168</v>
      </c>
      <c r="X287" s="55" t="s">
        <v>1148</v>
      </c>
      <c r="Y287" s="55" t="s">
        <v>1210</v>
      </c>
      <c r="Z287" s="55" t="s">
        <v>1226</v>
      </c>
    </row>
    <row r="288" spans="1:26">
      <c r="A288" s="55" t="s">
        <v>832</v>
      </c>
      <c r="B288" s="55" t="s">
        <v>272</v>
      </c>
      <c r="C288" s="55" t="s">
        <v>1142</v>
      </c>
      <c r="D288" s="55" t="s">
        <v>1143</v>
      </c>
      <c r="E288" s="55" t="s">
        <v>1143</v>
      </c>
      <c r="F288" s="55" t="s">
        <v>73</v>
      </c>
      <c r="G288" s="56">
        <v>1</v>
      </c>
      <c r="H288" s="56">
        <v>1</v>
      </c>
      <c r="I288" s="56">
        <v>0</v>
      </c>
      <c r="J288" s="56">
        <v>9</v>
      </c>
      <c r="K288" s="56">
        <v>0</v>
      </c>
      <c r="L288" s="56">
        <v>0</v>
      </c>
      <c r="M288" s="56">
        <v>6567237.59</v>
      </c>
      <c r="N288" s="56">
        <v>732776518.3</v>
      </c>
      <c r="O288" s="56">
        <v>18</v>
      </c>
      <c r="P288" s="56">
        <v>1</v>
      </c>
      <c r="Q288" s="56">
        <v>0</v>
      </c>
      <c r="R288" s="56">
        <v>0</v>
      </c>
      <c r="S288" s="56">
        <v>0</v>
      </c>
      <c r="T288" s="55" t="s">
        <v>1157</v>
      </c>
      <c r="U288" s="55" t="s">
        <v>1145</v>
      </c>
      <c r="V288" s="55" t="s">
        <v>1153</v>
      </c>
      <c r="W288" s="55" t="s">
        <v>1147</v>
      </c>
      <c r="X288" s="55" t="s">
        <v>1154</v>
      </c>
      <c r="Y288" s="55" t="s">
        <v>1283</v>
      </c>
      <c r="Z288" s="55" t="s">
        <v>1185</v>
      </c>
    </row>
    <row r="289" spans="1:26">
      <c r="A289" s="55" t="s">
        <v>833</v>
      </c>
      <c r="B289" s="55" t="s">
        <v>272</v>
      </c>
      <c r="C289" s="55" t="s">
        <v>1142</v>
      </c>
      <c r="D289" s="55" t="s">
        <v>1143</v>
      </c>
      <c r="E289" s="55" t="s">
        <v>1143</v>
      </c>
      <c r="F289" s="55" t="s">
        <v>73</v>
      </c>
      <c r="G289" s="56">
        <v>1</v>
      </c>
      <c r="H289" s="56">
        <v>1</v>
      </c>
      <c r="I289" s="56">
        <v>0</v>
      </c>
      <c r="J289" s="56">
        <v>21</v>
      </c>
      <c r="K289" s="56">
        <v>0</v>
      </c>
      <c r="L289" s="56">
        <v>34270000</v>
      </c>
      <c r="M289" s="56">
        <v>0</v>
      </c>
      <c r="N289" s="56">
        <v>0</v>
      </c>
      <c r="O289" s="56">
        <v>81</v>
      </c>
      <c r="P289" s="56">
        <v>0</v>
      </c>
      <c r="Q289" s="56">
        <v>0</v>
      </c>
      <c r="R289" s="56">
        <v>0</v>
      </c>
      <c r="S289" s="56">
        <v>0</v>
      </c>
      <c r="T289" s="55" t="s">
        <v>1167</v>
      </c>
      <c r="U289" s="55" t="s">
        <v>1165</v>
      </c>
      <c r="V289" s="55" t="s">
        <v>1153</v>
      </c>
      <c r="W289" s="55" t="s">
        <v>1147</v>
      </c>
      <c r="X289" s="55" t="s">
        <v>1154</v>
      </c>
      <c r="Y289" s="55" t="s">
        <v>1281</v>
      </c>
      <c r="Z289" s="55" t="s">
        <v>1172</v>
      </c>
    </row>
    <row r="290" spans="1:26">
      <c r="A290" s="55" t="s">
        <v>834</v>
      </c>
      <c r="B290" s="55" t="s">
        <v>272</v>
      </c>
      <c r="C290" s="55" t="s">
        <v>1142</v>
      </c>
      <c r="D290" s="55" t="s">
        <v>1143</v>
      </c>
      <c r="E290" s="55" t="s">
        <v>1143</v>
      </c>
      <c r="F290" s="55" t="s">
        <v>73</v>
      </c>
      <c r="G290" s="56">
        <v>1</v>
      </c>
      <c r="H290" s="56">
        <v>1</v>
      </c>
      <c r="I290" s="56">
        <v>0</v>
      </c>
      <c r="J290" s="56">
        <v>1</v>
      </c>
      <c r="K290" s="56">
        <v>0</v>
      </c>
      <c r="L290" s="56">
        <v>0</v>
      </c>
      <c r="M290" s="56">
        <v>7235141</v>
      </c>
      <c r="N290" s="56">
        <v>421885292.6</v>
      </c>
      <c r="O290" s="56">
        <v>75</v>
      </c>
      <c r="P290" s="56">
        <v>1</v>
      </c>
      <c r="Q290" s="56">
        <v>0</v>
      </c>
      <c r="R290" s="56">
        <v>0</v>
      </c>
      <c r="S290" s="56">
        <v>0</v>
      </c>
      <c r="T290" s="55" t="s">
        <v>1173</v>
      </c>
      <c r="U290" s="55" t="s">
        <v>1145</v>
      </c>
      <c r="V290" s="55" t="s">
        <v>1153</v>
      </c>
      <c r="W290" s="55" t="s">
        <v>1302</v>
      </c>
      <c r="X290" s="55" t="s">
        <v>1154</v>
      </c>
      <c r="Y290" s="55" t="s">
        <v>1256</v>
      </c>
      <c r="Z290" s="55" t="s">
        <v>1166</v>
      </c>
    </row>
    <row r="291" spans="1:26">
      <c r="A291" s="55" t="s">
        <v>835</v>
      </c>
      <c r="B291" s="55" t="s">
        <v>272</v>
      </c>
      <c r="C291" s="55" t="s">
        <v>1187</v>
      </c>
      <c r="D291" s="55" t="s">
        <v>1188</v>
      </c>
      <c r="E291" s="55" t="s">
        <v>1188</v>
      </c>
      <c r="F291" s="55" t="s">
        <v>74</v>
      </c>
      <c r="G291" s="56">
        <v>2</v>
      </c>
      <c r="H291" s="56">
        <v>2</v>
      </c>
      <c r="I291" s="56">
        <v>9</v>
      </c>
      <c r="J291" s="56">
        <v>1</v>
      </c>
      <c r="K291" s="56">
        <v>0</v>
      </c>
      <c r="L291" s="56">
        <v>29800000</v>
      </c>
      <c r="M291" s="56">
        <v>3839.21</v>
      </c>
      <c r="N291" s="56">
        <v>76784.17999999999</v>
      </c>
      <c r="O291" s="56">
        <v>69</v>
      </c>
      <c r="P291" s="56">
        <v>0</v>
      </c>
      <c r="Q291" s="56">
        <v>0</v>
      </c>
      <c r="R291" s="56">
        <v>0</v>
      </c>
      <c r="S291" s="56">
        <v>1</v>
      </c>
      <c r="T291" s="55" t="s">
        <v>1144</v>
      </c>
      <c r="U291" s="55" t="s">
        <v>1145</v>
      </c>
      <c r="V291" s="55" t="s">
        <v>1146</v>
      </c>
      <c r="W291" s="55" t="s">
        <v>1180</v>
      </c>
      <c r="X291" s="55" t="s">
        <v>1159</v>
      </c>
      <c r="Y291" s="55" t="s">
        <v>1283</v>
      </c>
      <c r="Z291" s="55" t="s">
        <v>1196</v>
      </c>
    </row>
    <row r="292" spans="1:26">
      <c r="A292" s="55" t="s">
        <v>836</v>
      </c>
      <c r="B292" s="55" t="s">
        <v>272</v>
      </c>
      <c r="C292" s="55" t="s">
        <v>1142</v>
      </c>
      <c r="D292" s="55" t="s">
        <v>1143</v>
      </c>
      <c r="E292" s="55" t="s">
        <v>1143</v>
      </c>
      <c r="F292" s="55" t="s">
        <v>73</v>
      </c>
      <c r="G292" s="56">
        <v>1</v>
      </c>
      <c r="H292" s="56">
        <v>1</v>
      </c>
      <c r="I292" s="56">
        <v>0</v>
      </c>
      <c r="J292" s="56">
        <v>10</v>
      </c>
      <c r="K292" s="56">
        <v>0</v>
      </c>
      <c r="L292" s="56">
        <v>759155000</v>
      </c>
      <c r="M292" s="56">
        <v>96369391.17</v>
      </c>
      <c r="N292" s="56">
        <v>3611083720.59</v>
      </c>
      <c r="O292" s="56">
        <v>246</v>
      </c>
      <c r="P292" s="56">
        <v>0</v>
      </c>
      <c r="Q292" s="56">
        <v>0</v>
      </c>
      <c r="R292" s="56">
        <v>0</v>
      </c>
      <c r="S292" s="56">
        <v>0</v>
      </c>
      <c r="T292" s="55" t="s">
        <v>1157</v>
      </c>
      <c r="U292" s="55" t="s">
        <v>1145</v>
      </c>
      <c r="V292" s="55" t="s">
        <v>1153</v>
      </c>
      <c r="W292" s="55" t="s">
        <v>1147</v>
      </c>
      <c r="X292" s="55" t="s">
        <v>1148</v>
      </c>
      <c r="Y292" s="55" t="s">
        <v>1283</v>
      </c>
      <c r="Z292" s="55" t="s">
        <v>1303</v>
      </c>
    </row>
    <row r="293" spans="1:26">
      <c r="A293" s="55" t="s">
        <v>837</v>
      </c>
      <c r="B293" s="55" t="s">
        <v>272</v>
      </c>
      <c r="C293" s="55" t="s">
        <v>1142</v>
      </c>
      <c r="D293" s="55" t="s">
        <v>1213</v>
      </c>
      <c r="E293" s="55" t="s">
        <v>1214</v>
      </c>
      <c r="F293" s="55" t="s">
        <v>76</v>
      </c>
      <c r="H293" s="56">
        <v>1</v>
      </c>
      <c r="I293" s="56">
        <v>0</v>
      </c>
      <c r="J293" s="56">
        <v>5</v>
      </c>
      <c r="K293" s="56">
        <v>0</v>
      </c>
      <c r="L293" s="56">
        <v>0</v>
      </c>
      <c r="M293" s="56">
        <v>0</v>
      </c>
      <c r="N293" s="56">
        <v>0</v>
      </c>
      <c r="O293" s="56">
        <v>17</v>
      </c>
      <c r="P293" s="56">
        <v>1</v>
      </c>
      <c r="Q293" s="56">
        <v>0</v>
      </c>
      <c r="R293" s="56">
        <v>0</v>
      </c>
      <c r="S293" s="56">
        <v>0</v>
      </c>
      <c r="T293" s="55" t="s">
        <v>1173</v>
      </c>
      <c r="U293" s="55" t="s">
        <v>1165</v>
      </c>
      <c r="V293" s="55" t="s">
        <v>1153</v>
      </c>
      <c r="W293" s="55" t="s">
        <v>1158</v>
      </c>
      <c r="X293" s="55" t="s">
        <v>1258</v>
      </c>
      <c r="Y293" s="55" t="s">
        <v>1155</v>
      </c>
      <c r="Z293" s="55" t="s">
        <v>1166</v>
      </c>
    </row>
    <row r="294" spans="1:26">
      <c r="A294" s="55" t="s">
        <v>838</v>
      </c>
      <c r="B294" s="55" t="s">
        <v>272</v>
      </c>
      <c r="C294" s="55" t="s">
        <v>1142</v>
      </c>
      <c r="D294" s="55" t="s">
        <v>1143</v>
      </c>
      <c r="E294" s="55" t="s">
        <v>1143</v>
      </c>
      <c r="F294" s="55" t="s">
        <v>73</v>
      </c>
      <c r="G294" s="56">
        <v>1</v>
      </c>
      <c r="H294" s="56">
        <v>1</v>
      </c>
      <c r="I294" s="56">
        <v>0</v>
      </c>
      <c r="J294" s="56">
        <v>53</v>
      </c>
      <c r="K294" s="56">
        <v>0</v>
      </c>
      <c r="L294" s="56">
        <v>418344.89</v>
      </c>
      <c r="M294" s="56">
        <v>333133.04</v>
      </c>
      <c r="N294" s="56">
        <v>418344.89</v>
      </c>
      <c r="O294" s="56">
        <v>75</v>
      </c>
      <c r="P294" s="56">
        <v>0</v>
      </c>
      <c r="Q294" s="56">
        <v>0</v>
      </c>
      <c r="R294" s="56">
        <v>0</v>
      </c>
      <c r="S294" s="56">
        <v>0</v>
      </c>
      <c r="T294" s="55" t="s">
        <v>1162</v>
      </c>
      <c r="U294" s="55" t="s">
        <v>1165</v>
      </c>
      <c r="V294" s="55" t="s">
        <v>1153</v>
      </c>
      <c r="W294" s="55" t="s">
        <v>1147</v>
      </c>
      <c r="X294" s="55" t="s">
        <v>1201</v>
      </c>
      <c r="Y294" s="55" t="s">
        <v>1284</v>
      </c>
      <c r="Z294" s="55" t="s">
        <v>1164</v>
      </c>
    </row>
    <row r="295" spans="1:26">
      <c r="A295" s="55" t="s">
        <v>839</v>
      </c>
      <c r="B295" s="55" t="s">
        <v>272</v>
      </c>
      <c r="C295" s="55" t="s">
        <v>1142</v>
      </c>
      <c r="D295" s="55" t="s">
        <v>1143</v>
      </c>
      <c r="E295" s="55" t="s">
        <v>1143</v>
      </c>
      <c r="F295" s="55" t="s">
        <v>73</v>
      </c>
      <c r="G295" s="56">
        <v>1</v>
      </c>
      <c r="H295" s="56">
        <v>1</v>
      </c>
      <c r="I295" s="56">
        <v>0</v>
      </c>
      <c r="J295" s="56">
        <v>38</v>
      </c>
      <c r="K295" s="56">
        <v>0</v>
      </c>
      <c r="L295" s="56">
        <v>4722038.34</v>
      </c>
      <c r="M295" s="56">
        <v>783871.46</v>
      </c>
      <c r="N295" s="56">
        <v>4722038.34</v>
      </c>
      <c r="O295" s="56">
        <v>35</v>
      </c>
      <c r="P295" s="56">
        <v>0</v>
      </c>
      <c r="Q295" s="56">
        <v>0</v>
      </c>
      <c r="R295" s="56">
        <v>0</v>
      </c>
      <c r="S295" s="56">
        <v>0</v>
      </c>
      <c r="T295" s="55" t="s">
        <v>1167</v>
      </c>
      <c r="U295" s="55" t="s">
        <v>1165</v>
      </c>
      <c r="V295" s="55" t="s">
        <v>1146</v>
      </c>
      <c r="W295" s="55" t="s">
        <v>1168</v>
      </c>
      <c r="X295" s="55" t="s">
        <v>1154</v>
      </c>
      <c r="Y295" s="55" t="s">
        <v>1283</v>
      </c>
      <c r="Z295" s="55" t="s">
        <v>1170</v>
      </c>
    </row>
    <row r="296" spans="1:26">
      <c r="A296" s="55" t="s">
        <v>840</v>
      </c>
      <c r="B296" s="55" t="s">
        <v>272</v>
      </c>
      <c r="C296" s="55" t="s">
        <v>1142</v>
      </c>
      <c r="D296" s="55" t="s">
        <v>1143</v>
      </c>
      <c r="E296" s="55" t="s">
        <v>1143</v>
      </c>
      <c r="F296" s="55" t="s">
        <v>73</v>
      </c>
      <c r="G296" s="56">
        <v>1</v>
      </c>
      <c r="H296" s="56">
        <v>1</v>
      </c>
      <c r="I296" s="56">
        <v>0</v>
      </c>
      <c r="J296" s="56">
        <v>42</v>
      </c>
      <c r="K296" s="56">
        <v>0</v>
      </c>
      <c r="L296" s="56">
        <v>4111181.65</v>
      </c>
      <c r="M296" s="56">
        <v>1139324.32</v>
      </c>
      <c r="N296" s="56">
        <v>4111181.65</v>
      </c>
      <c r="O296" s="56">
        <v>54</v>
      </c>
      <c r="P296" s="56">
        <v>0</v>
      </c>
      <c r="Q296" s="56">
        <v>0</v>
      </c>
      <c r="R296" s="56">
        <v>0</v>
      </c>
      <c r="S296" s="56">
        <v>0</v>
      </c>
      <c r="T296" s="55" t="s">
        <v>1167</v>
      </c>
      <c r="U296" s="55" t="s">
        <v>1145</v>
      </c>
      <c r="V296" s="55" t="s">
        <v>1153</v>
      </c>
      <c r="W296" s="55" t="s">
        <v>1147</v>
      </c>
      <c r="X296" s="55" t="s">
        <v>1148</v>
      </c>
      <c r="Y296" s="55" t="s">
        <v>1304</v>
      </c>
      <c r="Z296" s="55" t="s">
        <v>1166</v>
      </c>
    </row>
    <row r="297" spans="1:26">
      <c r="A297" s="55" t="s">
        <v>841</v>
      </c>
      <c r="B297" s="55" t="s">
        <v>272</v>
      </c>
      <c r="C297" s="55" t="s">
        <v>1142</v>
      </c>
      <c r="D297" s="55" t="s">
        <v>1143</v>
      </c>
      <c r="E297" s="55" t="s">
        <v>1143</v>
      </c>
      <c r="F297" s="55" t="s">
        <v>73</v>
      </c>
      <c r="G297" s="56">
        <v>1</v>
      </c>
      <c r="H297" s="56">
        <v>1</v>
      </c>
      <c r="I297" s="56">
        <v>0</v>
      </c>
      <c r="J297" s="56">
        <v>2</v>
      </c>
      <c r="K297" s="56">
        <v>0</v>
      </c>
      <c r="L297" s="56">
        <v>74500000</v>
      </c>
      <c r="M297" s="56">
        <v>0</v>
      </c>
      <c r="N297" s="56">
        <v>0</v>
      </c>
      <c r="O297" s="56">
        <v>159</v>
      </c>
      <c r="P297" s="56">
        <v>0</v>
      </c>
      <c r="Q297" s="56">
        <v>0</v>
      </c>
      <c r="R297" s="56">
        <v>0</v>
      </c>
      <c r="S297" s="56">
        <v>0</v>
      </c>
      <c r="T297" s="55" t="s">
        <v>1157</v>
      </c>
      <c r="U297" s="55" t="s">
        <v>1145</v>
      </c>
      <c r="V297" s="55" t="s">
        <v>1153</v>
      </c>
      <c r="W297" s="55" t="s">
        <v>1181</v>
      </c>
      <c r="X297" s="55" t="s">
        <v>1154</v>
      </c>
      <c r="Y297" s="55" t="s">
        <v>1305</v>
      </c>
      <c r="Z297" s="55" t="s">
        <v>1230</v>
      </c>
    </row>
    <row r="298" spans="1:26">
      <c r="A298" s="55" t="s">
        <v>842</v>
      </c>
      <c r="B298" s="55" t="s">
        <v>272</v>
      </c>
      <c r="C298" s="55" t="s">
        <v>1187</v>
      </c>
      <c r="D298" s="55" t="s">
        <v>1188</v>
      </c>
      <c r="E298" s="55" t="s">
        <v>1188</v>
      </c>
      <c r="F298" s="55" t="s">
        <v>74</v>
      </c>
      <c r="G298" s="56">
        <v>2</v>
      </c>
      <c r="H298" s="56">
        <v>2</v>
      </c>
      <c r="I298" s="56">
        <v>0</v>
      </c>
      <c r="J298" s="56">
        <v>111</v>
      </c>
      <c r="K298" s="56">
        <v>2</v>
      </c>
      <c r="L298" s="56">
        <v>50315482.32</v>
      </c>
      <c r="M298" s="56">
        <v>4487357.9</v>
      </c>
      <c r="N298" s="56">
        <v>39827014.34</v>
      </c>
      <c r="O298" s="56">
        <v>41</v>
      </c>
      <c r="P298" s="56">
        <v>0</v>
      </c>
      <c r="Q298" s="56">
        <v>0</v>
      </c>
      <c r="R298" s="56">
        <v>0</v>
      </c>
      <c r="S298" s="56">
        <v>0</v>
      </c>
      <c r="T298" s="55" t="s">
        <v>1227</v>
      </c>
      <c r="U298" s="55" t="s">
        <v>1145</v>
      </c>
      <c r="V298" s="55" t="s">
        <v>1146</v>
      </c>
      <c r="W298" s="55" t="s">
        <v>1180</v>
      </c>
      <c r="X298" s="55" t="s">
        <v>1205</v>
      </c>
      <c r="Y298" s="55" t="s">
        <v>1305</v>
      </c>
      <c r="Z298" s="55" t="s">
        <v>1211</v>
      </c>
    </row>
    <row r="299" spans="1:26">
      <c r="A299" s="55" t="s">
        <v>843</v>
      </c>
      <c r="B299" s="55" t="s">
        <v>272</v>
      </c>
      <c r="C299" s="55" t="s">
        <v>1142</v>
      </c>
      <c r="D299" s="55" t="s">
        <v>1143</v>
      </c>
      <c r="E299" s="55" t="s">
        <v>1143</v>
      </c>
      <c r="F299" s="55" t="s">
        <v>73</v>
      </c>
      <c r="G299" s="56">
        <v>1</v>
      </c>
      <c r="H299" s="56">
        <v>1</v>
      </c>
      <c r="I299" s="56">
        <v>0</v>
      </c>
      <c r="J299" s="56">
        <v>3</v>
      </c>
      <c r="K299" s="56">
        <v>0</v>
      </c>
      <c r="L299" s="56">
        <v>0</v>
      </c>
      <c r="M299" s="56">
        <v>12181191.24</v>
      </c>
      <c r="N299" s="56">
        <v>924576025.1</v>
      </c>
      <c r="O299" s="56">
        <v>74</v>
      </c>
      <c r="P299" s="56">
        <v>1</v>
      </c>
      <c r="Q299" s="56">
        <v>0</v>
      </c>
      <c r="R299" s="56">
        <v>0</v>
      </c>
      <c r="S299" s="56">
        <v>0</v>
      </c>
      <c r="T299" s="55" t="s">
        <v>1227</v>
      </c>
      <c r="U299" s="55" t="s">
        <v>1145</v>
      </c>
      <c r="V299" s="55" t="s">
        <v>1146</v>
      </c>
      <c r="W299" s="55" t="s">
        <v>1147</v>
      </c>
      <c r="X299" s="55" t="s">
        <v>1159</v>
      </c>
      <c r="Y299" s="55" t="s">
        <v>1259</v>
      </c>
      <c r="Z299" s="55" t="s">
        <v>1268</v>
      </c>
    </row>
    <row r="300" spans="1:26">
      <c r="A300" s="55" t="s">
        <v>844</v>
      </c>
      <c r="B300" s="55" t="s">
        <v>272</v>
      </c>
      <c r="C300" s="55" t="s">
        <v>1142</v>
      </c>
      <c r="D300" s="55" t="s">
        <v>1143</v>
      </c>
      <c r="E300" s="55" t="s">
        <v>1143</v>
      </c>
      <c r="F300" s="55" t="s">
        <v>73</v>
      </c>
      <c r="G300" s="56">
        <v>1</v>
      </c>
      <c r="H300" s="56">
        <v>1</v>
      </c>
      <c r="I300" s="56">
        <v>0</v>
      </c>
      <c r="J300" s="56">
        <v>227</v>
      </c>
      <c r="K300" s="56">
        <v>0</v>
      </c>
      <c r="L300" s="56">
        <v>37860199.47</v>
      </c>
      <c r="M300" s="56">
        <v>6890148.4</v>
      </c>
      <c r="N300" s="56">
        <v>58321928.14</v>
      </c>
      <c r="O300" s="56">
        <v>44</v>
      </c>
      <c r="P300" s="56">
        <v>0</v>
      </c>
      <c r="Q300" s="56">
        <v>0</v>
      </c>
      <c r="R300" s="56">
        <v>0</v>
      </c>
      <c r="S300" s="56">
        <v>0</v>
      </c>
      <c r="T300" s="55" t="s">
        <v>1173</v>
      </c>
      <c r="U300" s="55" t="s">
        <v>1145</v>
      </c>
      <c r="V300" s="55" t="s">
        <v>1146</v>
      </c>
      <c r="W300" s="55" t="s">
        <v>1147</v>
      </c>
      <c r="X300" s="55" t="s">
        <v>1154</v>
      </c>
      <c r="Y300" s="55" t="s">
        <v>1259</v>
      </c>
      <c r="Z300" s="55" t="s">
        <v>1211</v>
      </c>
    </row>
    <row r="301" spans="1:26">
      <c r="A301" s="55" t="s">
        <v>845</v>
      </c>
      <c r="B301" s="55" t="s">
        <v>272</v>
      </c>
      <c r="C301" s="55" t="s">
        <v>1142</v>
      </c>
      <c r="D301" s="55" t="s">
        <v>1143</v>
      </c>
      <c r="E301" s="55" t="s">
        <v>1143</v>
      </c>
      <c r="F301" s="55" t="s">
        <v>73</v>
      </c>
      <c r="G301" s="56">
        <v>1</v>
      </c>
      <c r="H301" s="56">
        <v>1</v>
      </c>
      <c r="I301" s="56">
        <v>0</v>
      </c>
      <c r="J301" s="56">
        <v>1</v>
      </c>
      <c r="K301" s="56">
        <v>0</v>
      </c>
      <c r="L301" s="56">
        <v>73010000</v>
      </c>
      <c r="M301" s="56">
        <v>110700</v>
      </c>
      <c r="N301" s="56">
        <v>2214000</v>
      </c>
      <c r="O301" s="56">
        <v>179</v>
      </c>
      <c r="P301" s="56">
        <v>0</v>
      </c>
      <c r="Q301" s="56">
        <v>0</v>
      </c>
      <c r="R301" s="56">
        <v>0</v>
      </c>
      <c r="S301" s="56">
        <v>0</v>
      </c>
      <c r="T301" s="55" t="s">
        <v>1157</v>
      </c>
      <c r="U301" s="55" t="s">
        <v>1165</v>
      </c>
      <c r="V301" s="55" t="s">
        <v>1153</v>
      </c>
      <c r="W301" s="55" t="s">
        <v>1147</v>
      </c>
      <c r="X301" s="55" t="s">
        <v>1154</v>
      </c>
      <c r="Y301" s="55" t="s">
        <v>1259</v>
      </c>
      <c r="Z301" s="55" t="s">
        <v>1306</v>
      </c>
    </row>
    <row r="302" spans="1:26">
      <c r="A302" s="55" t="s">
        <v>846</v>
      </c>
      <c r="B302" s="55" t="s">
        <v>272</v>
      </c>
      <c r="C302" s="55" t="s">
        <v>1142</v>
      </c>
      <c r="D302" s="55" t="s">
        <v>1143</v>
      </c>
      <c r="E302" s="55" t="s">
        <v>1143</v>
      </c>
      <c r="F302" s="55" t="s">
        <v>73</v>
      </c>
      <c r="G302" s="56">
        <v>1</v>
      </c>
      <c r="H302" s="56">
        <v>1</v>
      </c>
      <c r="I302" s="56">
        <v>0</v>
      </c>
      <c r="J302" s="56">
        <v>16</v>
      </c>
      <c r="K302" s="56">
        <v>0</v>
      </c>
      <c r="L302" s="56">
        <v>131120000</v>
      </c>
      <c r="M302" s="56">
        <v>42949068</v>
      </c>
      <c r="N302" s="56">
        <v>3437336662.32</v>
      </c>
      <c r="O302" s="56">
        <v>94</v>
      </c>
      <c r="P302" s="56">
        <v>0</v>
      </c>
      <c r="Q302" s="56">
        <v>0</v>
      </c>
      <c r="R302" s="56">
        <v>0</v>
      </c>
      <c r="S302" s="56">
        <v>0</v>
      </c>
      <c r="T302" s="55" t="s">
        <v>1152</v>
      </c>
      <c r="U302" s="55" t="s">
        <v>1145</v>
      </c>
      <c r="V302" s="55" t="s">
        <v>1153</v>
      </c>
      <c r="W302" s="55" t="s">
        <v>1147</v>
      </c>
      <c r="X302" s="55" t="s">
        <v>1159</v>
      </c>
      <c r="Y302" s="55" t="s">
        <v>1259</v>
      </c>
      <c r="Z302" s="55" t="s">
        <v>1260</v>
      </c>
    </row>
    <row r="303" spans="1:26">
      <c r="A303" s="55" t="s">
        <v>847</v>
      </c>
      <c r="B303" s="55" t="s">
        <v>546</v>
      </c>
      <c r="C303" s="55" t="s">
        <v>1151</v>
      </c>
      <c r="D303" s="55" t="s">
        <v>87</v>
      </c>
      <c r="E303" s="55" t="s">
        <v>87</v>
      </c>
      <c r="F303" s="55" t="s">
        <v>75</v>
      </c>
      <c r="G303" s="56">
        <v>5</v>
      </c>
      <c r="H303" s="56">
        <v>5</v>
      </c>
      <c r="I303" s="56">
        <v>1179</v>
      </c>
      <c r="J303" s="56">
        <v>55</v>
      </c>
      <c r="K303" s="56">
        <v>0</v>
      </c>
      <c r="L303" s="56">
        <v>564585</v>
      </c>
      <c r="M303" s="56">
        <v>360992.17</v>
      </c>
      <c r="N303" s="56">
        <v>119472556.4</v>
      </c>
      <c r="O303" s="56">
        <v>90</v>
      </c>
      <c r="P303" s="56">
        <v>0</v>
      </c>
      <c r="Q303" s="56">
        <v>0</v>
      </c>
      <c r="R303" s="56">
        <v>1</v>
      </c>
      <c r="S303" s="56">
        <v>1</v>
      </c>
      <c r="T303" s="55" t="s">
        <v>1173</v>
      </c>
      <c r="U303" s="55" t="s">
        <v>1165</v>
      </c>
      <c r="V303" s="55" t="s">
        <v>1232</v>
      </c>
      <c r="W303" s="55" t="s">
        <v>1168</v>
      </c>
      <c r="X303" s="55" t="s">
        <v>1154</v>
      </c>
      <c r="Y303" s="55" t="s">
        <v>1259</v>
      </c>
      <c r="Z303" s="55" t="s">
        <v>1230</v>
      </c>
    </row>
    <row r="304" spans="1:26">
      <c r="A304" s="55" t="s">
        <v>848</v>
      </c>
      <c r="B304" s="55" t="s">
        <v>272</v>
      </c>
      <c r="C304" s="55" t="s">
        <v>1142</v>
      </c>
      <c r="D304" s="55" t="s">
        <v>1143</v>
      </c>
      <c r="E304" s="55" t="s">
        <v>1143</v>
      </c>
      <c r="F304" s="55" t="s">
        <v>73</v>
      </c>
      <c r="G304" s="56">
        <v>1</v>
      </c>
      <c r="H304" s="56">
        <v>1</v>
      </c>
      <c r="I304" s="56">
        <v>0</v>
      </c>
      <c r="J304" s="56">
        <v>7</v>
      </c>
      <c r="K304" s="56">
        <v>0</v>
      </c>
      <c r="L304" s="56">
        <v>45147000</v>
      </c>
      <c r="M304" s="56">
        <v>1187597.91</v>
      </c>
      <c r="N304" s="56">
        <v>0</v>
      </c>
      <c r="O304" s="56">
        <v>15</v>
      </c>
      <c r="P304" s="56">
        <v>0</v>
      </c>
      <c r="Q304" s="56">
        <v>0</v>
      </c>
      <c r="R304" s="56">
        <v>0</v>
      </c>
      <c r="S304" s="56">
        <v>0</v>
      </c>
      <c r="T304" s="55" t="s">
        <v>1162</v>
      </c>
      <c r="U304" s="55" t="s">
        <v>1165</v>
      </c>
      <c r="V304" s="55" t="s">
        <v>1153</v>
      </c>
      <c r="W304" s="55" t="s">
        <v>1147</v>
      </c>
      <c r="X304" s="55" t="s">
        <v>1159</v>
      </c>
      <c r="Y304" s="55" t="s">
        <v>1259</v>
      </c>
      <c r="Z304" s="55" t="s">
        <v>1185</v>
      </c>
    </row>
    <row r="305" spans="1:26">
      <c r="A305" s="55" t="s">
        <v>849</v>
      </c>
      <c r="B305" s="55" t="s">
        <v>272</v>
      </c>
      <c r="C305" s="55" t="s">
        <v>1142</v>
      </c>
      <c r="D305" s="55" t="s">
        <v>1143</v>
      </c>
      <c r="E305" s="55" t="s">
        <v>1143</v>
      </c>
      <c r="F305" s="55" t="s">
        <v>73</v>
      </c>
      <c r="G305" s="56">
        <v>1</v>
      </c>
      <c r="H305" s="56">
        <v>1</v>
      </c>
      <c r="I305" s="56">
        <v>0</v>
      </c>
      <c r="J305" s="56">
        <v>2</v>
      </c>
      <c r="K305" s="56">
        <v>0</v>
      </c>
      <c r="L305" s="56">
        <v>81950000</v>
      </c>
      <c r="M305" s="56">
        <v>80989.5</v>
      </c>
      <c r="N305" s="56">
        <v>1619790.06</v>
      </c>
      <c r="O305" s="56">
        <v>107</v>
      </c>
      <c r="P305" s="56">
        <v>0</v>
      </c>
      <c r="Q305" s="56">
        <v>0</v>
      </c>
      <c r="R305" s="56">
        <v>0</v>
      </c>
      <c r="S305" s="56">
        <v>0</v>
      </c>
      <c r="T305" s="55" t="s">
        <v>1227</v>
      </c>
      <c r="U305" s="55" t="s">
        <v>1165</v>
      </c>
      <c r="V305" s="55" t="s">
        <v>1146</v>
      </c>
      <c r="W305" s="55" t="s">
        <v>1147</v>
      </c>
      <c r="X305" s="55" t="s">
        <v>1218</v>
      </c>
      <c r="Y305" s="55" t="s">
        <v>1259</v>
      </c>
      <c r="Z305" s="55" t="s">
        <v>1185</v>
      </c>
    </row>
    <row r="306" spans="1:26">
      <c r="A306" s="55" t="s">
        <v>850</v>
      </c>
      <c r="B306" s="55" t="s">
        <v>272</v>
      </c>
      <c r="C306" s="55" t="s">
        <v>1142</v>
      </c>
      <c r="D306" s="55" t="s">
        <v>1143</v>
      </c>
      <c r="E306" s="55" t="s">
        <v>1143</v>
      </c>
      <c r="F306" s="55" t="s">
        <v>73</v>
      </c>
      <c r="G306" s="56">
        <v>1</v>
      </c>
      <c r="H306" s="56">
        <v>1</v>
      </c>
      <c r="I306" s="56">
        <v>0</v>
      </c>
      <c r="J306" s="56">
        <v>12</v>
      </c>
      <c r="K306" s="56">
        <v>0</v>
      </c>
      <c r="L306" s="56">
        <v>3360427.86</v>
      </c>
      <c r="M306" s="56">
        <v>2845472.57</v>
      </c>
      <c r="N306" s="56">
        <v>147774127.36</v>
      </c>
      <c r="O306" s="56">
        <v>79</v>
      </c>
      <c r="P306" s="56">
        <v>0</v>
      </c>
      <c r="Q306" s="56">
        <v>0</v>
      </c>
      <c r="R306" s="56">
        <v>0</v>
      </c>
      <c r="S306" s="56">
        <v>0</v>
      </c>
      <c r="T306" s="55" t="s">
        <v>1157</v>
      </c>
      <c r="U306" s="55" t="s">
        <v>1145</v>
      </c>
      <c r="V306" s="55" t="s">
        <v>1146</v>
      </c>
      <c r="W306" s="55" t="s">
        <v>1147</v>
      </c>
      <c r="X306" s="55" t="s">
        <v>1154</v>
      </c>
      <c r="Y306" s="55" t="s">
        <v>1259</v>
      </c>
      <c r="Z306" s="55" t="s">
        <v>1230</v>
      </c>
    </row>
    <row r="307" spans="1:26">
      <c r="A307" s="55" t="s">
        <v>851</v>
      </c>
      <c r="B307" s="55" t="s">
        <v>272</v>
      </c>
      <c r="C307" s="55" t="s">
        <v>1142</v>
      </c>
      <c r="D307" s="55" t="s">
        <v>1143</v>
      </c>
      <c r="E307" s="55" t="s">
        <v>1143</v>
      </c>
      <c r="F307" s="55" t="s">
        <v>73</v>
      </c>
      <c r="G307" s="56">
        <v>1</v>
      </c>
      <c r="H307" s="56">
        <v>1</v>
      </c>
      <c r="I307" s="56">
        <v>0</v>
      </c>
      <c r="J307" s="56">
        <v>1</v>
      </c>
      <c r="K307" s="56">
        <v>0</v>
      </c>
      <c r="L307" s="56">
        <v>119200000</v>
      </c>
      <c r="M307" s="56">
        <v>1496896.71</v>
      </c>
      <c r="N307" s="56">
        <v>29937934.29</v>
      </c>
      <c r="O307" s="56">
        <v>200</v>
      </c>
      <c r="P307" s="56">
        <v>0</v>
      </c>
      <c r="Q307" s="56">
        <v>0</v>
      </c>
      <c r="R307" s="56">
        <v>0</v>
      </c>
      <c r="S307" s="56">
        <v>0</v>
      </c>
      <c r="T307" s="55" t="s">
        <v>1173</v>
      </c>
      <c r="U307" s="55" t="s">
        <v>1145</v>
      </c>
      <c r="V307" s="55" t="s">
        <v>1146</v>
      </c>
      <c r="W307" s="55" t="s">
        <v>1147</v>
      </c>
      <c r="X307" s="55" t="s">
        <v>1159</v>
      </c>
      <c r="Y307" s="55" t="s">
        <v>1259</v>
      </c>
      <c r="Z307" s="55" t="s">
        <v>1170</v>
      </c>
    </row>
    <row r="308" spans="1:26">
      <c r="A308" s="55" t="s">
        <v>852</v>
      </c>
      <c r="B308" s="55" t="s">
        <v>272</v>
      </c>
      <c r="C308" s="55" t="s">
        <v>1142</v>
      </c>
      <c r="D308" s="55" t="s">
        <v>1143</v>
      </c>
      <c r="E308" s="55" t="s">
        <v>1143</v>
      </c>
      <c r="F308" s="55" t="s">
        <v>73</v>
      </c>
      <c r="G308" s="56">
        <v>1</v>
      </c>
      <c r="H308" s="56">
        <v>1</v>
      </c>
      <c r="I308" s="56">
        <v>0</v>
      </c>
      <c r="J308" s="56">
        <v>5</v>
      </c>
      <c r="K308" s="56">
        <v>0</v>
      </c>
      <c r="L308" s="56">
        <v>53640000</v>
      </c>
      <c r="M308" s="56">
        <v>14112.51</v>
      </c>
      <c r="N308" s="56">
        <v>282250.24</v>
      </c>
      <c r="O308" s="56">
        <v>217</v>
      </c>
      <c r="P308" s="56">
        <v>0</v>
      </c>
      <c r="Q308" s="56">
        <v>0</v>
      </c>
      <c r="R308" s="56">
        <v>0</v>
      </c>
      <c r="S308" s="56">
        <v>0</v>
      </c>
      <c r="T308" s="55" t="s">
        <v>1173</v>
      </c>
      <c r="U308" s="55" t="s">
        <v>1165</v>
      </c>
      <c r="V308" s="55" t="s">
        <v>1153</v>
      </c>
      <c r="W308" s="55" t="s">
        <v>1147</v>
      </c>
      <c r="X308" s="55" t="s">
        <v>1159</v>
      </c>
      <c r="Y308" s="55" t="s">
        <v>1259</v>
      </c>
      <c r="Z308" s="55" t="s">
        <v>1185</v>
      </c>
    </row>
    <row r="309" spans="1:26">
      <c r="A309" s="55" t="s">
        <v>853</v>
      </c>
      <c r="B309" s="55" t="s">
        <v>272</v>
      </c>
      <c r="C309" s="55" t="s">
        <v>1142</v>
      </c>
      <c r="D309" s="55" t="s">
        <v>1143</v>
      </c>
      <c r="E309" s="55" t="s">
        <v>1143</v>
      </c>
      <c r="F309" s="55" t="s">
        <v>73</v>
      </c>
      <c r="G309" s="56">
        <v>1</v>
      </c>
      <c r="H309" s="56">
        <v>1</v>
      </c>
      <c r="I309" s="56">
        <v>0</v>
      </c>
      <c r="J309" s="56">
        <v>3</v>
      </c>
      <c r="K309" s="56">
        <v>0</v>
      </c>
      <c r="L309" s="56">
        <v>29800000</v>
      </c>
      <c r="M309" s="56">
        <v>102546.62</v>
      </c>
      <c r="N309" s="56">
        <v>2050932.35</v>
      </c>
      <c r="O309" s="56">
        <v>68</v>
      </c>
      <c r="P309" s="56">
        <v>0</v>
      </c>
      <c r="Q309" s="56">
        <v>0</v>
      </c>
      <c r="R309" s="56">
        <v>0</v>
      </c>
      <c r="S309" s="56">
        <v>0</v>
      </c>
      <c r="T309" s="55" t="s">
        <v>1167</v>
      </c>
      <c r="U309" s="55" t="s">
        <v>1145</v>
      </c>
      <c r="V309" s="55" t="s">
        <v>1153</v>
      </c>
      <c r="W309" s="55" t="s">
        <v>1168</v>
      </c>
      <c r="X309" s="55" t="s">
        <v>1154</v>
      </c>
      <c r="Y309" s="55" t="s">
        <v>1259</v>
      </c>
      <c r="Z309" s="55" t="s">
        <v>1230</v>
      </c>
    </row>
    <row r="310" spans="1:26">
      <c r="A310" s="55" t="s">
        <v>854</v>
      </c>
      <c r="B310" s="55" t="s">
        <v>272</v>
      </c>
      <c r="C310" s="55" t="s">
        <v>1142</v>
      </c>
      <c r="D310" s="55" t="s">
        <v>1143</v>
      </c>
      <c r="E310" s="55" t="s">
        <v>1143</v>
      </c>
      <c r="F310" s="55" t="s">
        <v>73</v>
      </c>
      <c r="G310" s="56">
        <v>1</v>
      </c>
      <c r="H310" s="56">
        <v>1</v>
      </c>
      <c r="I310" s="56">
        <v>0</v>
      </c>
      <c r="J310" s="56">
        <v>5</v>
      </c>
      <c r="K310" s="56">
        <v>0</v>
      </c>
      <c r="L310" s="56">
        <v>43210000</v>
      </c>
      <c r="M310" s="56">
        <v>0</v>
      </c>
      <c r="N310" s="56">
        <v>0</v>
      </c>
      <c r="O310" s="56">
        <v>69</v>
      </c>
      <c r="P310" s="56">
        <v>0</v>
      </c>
      <c r="Q310" s="56">
        <v>0</v>
      </c>
      <c r="R310" s="56">
        <v>0</v>
      </c>
      <c r="S310" s="56">
        <v>0</v>
      </c>
      <c r="T310" s="55" t="s">
        <v>1167</v>
      </c>
      <c r="U310" s="55" t="s">
        <v>1165</v>
      </c>
      <c r="V310" s="55" t="s">
        <v>1153</v>
      </c>
      <c r="W310" s="55" t="s">
        <v>1147</v>
      </c>
      <c r="X310" s="55" t="s">
        <v>1154</v>
      </c>
      <c r="Y310" s="55" t="s">
        <v>1259</v>
      </c>
      <c r="Z310" s="55" t="s">
        <v>1185</v>
      </c>
    </row>
    <row r="311" spans="1:26">
      <c r="A311" s="55" t="s">
        <v>855</v>
      </c>
      <c r="B311" s="55" t="s">
        <v>272</v>
      </c>
      <c r="C311" s="55" t="s">
        <v>1187</v>
      </c>
      <c r="D311" s="55" t="s">
        <v>1188</v>
      </c>
      <c r="E311" s="55" t="s">
        <v>1188</v>
      </c>
      <c r="F311" s="55" t="s">
        <v>74</v>
      </c>
      <c r="G311" s="56">
        <v>2</v>
      </c>
      <c r="H311" s="56">
        <v>2</v>
      </c>
      <c r="I311" s="56">
        <v>0</v>
      </c>
      <c r="J311" s="56">
        <v>8</v>
      </c>
      <c r="K311" s="56">
        <v>1</v>
      </c>
      <c r="L311" s="56">
        <v>4470000</v>
      </c>
      <c r="M311" s="56">
        <v>1856438.75</v>
      </c>
      <c r="N311" s="56">
        <v>54281216.18</v>
      </c>
      <c r="O311" s="56">
        <v>98</v>
      </c>
      <c r="P311" s="56">
        <v>0</v>
      </c>
      <c r="Q311" s="56">
        <v>0</v>
      </c>
      <c r="R311" s="56">
        <v>0</v>
      </c>
      <c r="S311" s="56">
        <v>0</v>
      </c>
      <c r="T311" s="55" t="s">
        <v>1152</v>
      </c>
      <c r="U311" s="55" t="s">
        <v>1165</v>
      </c>
      <c r="V311" s="55" t="s">
        <v>1146</v>
      </c>
      <c r="W311" s="55" t="s">
        <v>1147</v>
      </c>
      <c r="X311" s="55" t="s">
        <v>1148</v>
      </c>
      <c r="Y311" s="55" t="s">
        <v>1259</v>
      </c>
      <c r="Z311" s="55" t="s">
        <v>1166</v>
      </c>
    </row>
    <row r="312" spans="1:26">
      <c r="A312" s="55" t="s">
        <v>856</v>
      </c>
      <c r="B312" s="55" t="s">
        <v>272</v>
      </c>
      <c r="C312" s="55" t="s">
        <v>1142</v>
      </c>
      <c r="D312" s="55" t="s">
        <v>1143</v>
      </c>
      <c r="E312" s="55" t="s">
        <v>1143</v>
      </c>
      <c r="F312" s="55" t="s">
        <v>73</v>
      </c>
      <c r="G312" s="56">
        <v>1</v>
      </c>
      <c r="H312" s="56">
        <v>1</v>
      </c>
      <c r="I312" s="56">
        <v>0</v>
      </c>
      <c r="J312" s="56">
        <v>322</v>
      </c>
      <c r="K312" s="56">
        <v>0</v>
      </c>
      <c r="L312" s="56">
        <v>1900491.23</v>
      </c>
      <c r="M312" s="56">
        <v>936707.14</v>
      </c>
      <c r="N312" s="56">
        <v>2189736.22</v>
      </c>
      <c r="O312" s="56">
        <v>38</v>
      </c>
      <c r="P312" s="56">
        <v>0</v>
      </c>
      <c r="Q312" s="56">
        <v>0</v>
      </c>
      <c r="R312" s="56">
        <v>0</v>
      </c>
      <c r="S312" s="56">
        <v>0</v>
      </c>
      <c r="T312" s="55" t="s">
        <v>1162</v>
      </c>
      <c r="U312" s="55" t="s">
        <v>1145</v>
      </c>
      <c r="V312" s="55" t="s">
        <v>1153</v>
      </c>
      <c r="W312" s="55" t="s">
        <v>1168</v>
      </c>
      <c r="X312" s="55" t="s">
        <v>1154</v>
      </c>
      <c r="Y312" s="55" t="s">
        <v>1305</v>
      </c>
      <c r="Z312" s="55" t="s">
        <v>1170</v>
      </c>
    </row>
    <row r="313" spans="1:26">
      <c r="A313" s="55" t="s">
        <v>857</v>
      </c>
      <c r="B313" s="55" t="s">
        <v>272</v>
      </c>
      <c r="C313" s="55" t="s">
        <v>1142</v>
      </c>
      <c r="D313" s="55" t="s">
        <v>1213</v>
      </c>
      <c r="E313" s="55" t="s">
        <v>1214</v>
      </c>
      <c r="F313" s="55" t="s">
        <v>76</v>
      </c>
      <c r="H313" s="56">
        <v>1</v>
      </c>
      <c r="I313" s="56">
        <v>0</v>
      </c>
      <c r="J313" s="56">
        <v>1</v>
      </c>
      <c r="K313" s="56">
        <v>0</v>
      </c>
      <c r="L313" s="56">
        <v>0</v>
      </c>
      <c r="M313" s="56">
        <v>0</v>
      </c>
      <c r="N313" s="56">
        <v>0</v>
      </c>
      <c r="O313" s="56">
        <v>59</v>
      </c>
      <c r="P313" s="56">
        <v>1</v>
      </c>
      <c r="Q313" s="56">
        <v>0</v>
      </c>
      <c r="R313" s="56">
        <v>0</v>
      </c>
      <c r="S313" s="56">
        <v>0</v>
      </c>
      <c r="T313" s="55" t="s">
        <v>1157</v>
      </c>
      <c r="U313" s="55" t="s">
        <v>1165</v>
      </c>
      <c r="V313" s="55" t="s">
        <v>1153</v>
      </c>
      <c r="W313" s="55" t="s">
        <v>1168</v>
      </c>
      <c r="X313" s="55" t="s">
        <v>1221</v>
      </c>
      <c r="Y313" s="55" t="s">
        <v>1259</v>
      </c>
      <c r="Z313" s="55" t="s">
        <v>1164</v>
      </c>
    </row>
    <row r="314" spans="1:26">
      <c r="A314" s="55" t="s">
        <v>858</v>
      </c>
      <c r="B314" s="55" t="s">
        <v>272</v>
      </c>
      <c r="C314" s="55" t="s">
        <v>1187</v>
      </c>
      <c r="D314" s="55" t="s">
        <v>1188</v>
      </c>
      <c r="E314" s="55" t="s">
        <v>1188</v>
      </c>
      <c r="F314" s="55" t="s">
        <v>74</v>
      </c>
      <c r="G314" s="56">
        <v>2</v>
      </c>
      <c r="H314" s="56">
        <v>2</v>
      </c>
      <c r="I314" s="56">
        <v>90</v>
      </c>
      <c r="J314" s="56">
        <v>48</v>
      </c>
      <c r="K314" s="56">
        <v>1</v>
      </c>
      <c r="L314" s="56">
        <v>57782309.44</v>
      </c>
      <c r="M314" s="56">
        <v>4763646.4</v>
      </c>
      <c r="N314" s="56">
        <v>24527843.09</v>
      </c>
      <c r="O314" s="56">
        <v>93</v>
      </c>
      <c r="P314" s="56">
        <v>0</v>
      </c>
      <c r="Q314" s="56">
        <v>0</v>
      </c>
      <c r="R314" s="56">
        <v>0</v>
      </c>
      <c r="S314" s="56">
        <v>1</v>
      </c>
      <c r="T314" s="55" t="s">
        <v>1173</v>
      </c>
      <c r="U314" s="55" t="s">
        <v>1165</v>
      </c>
      <c r="V314" s="55" t="s">
        <v>1153</v>
      </c>
      <c r="W314" s="55" t="s">
        <v>1147</v>
      </c>
      <c r="X314" s="55" t="s">
        <v>1159</v>
      </c>
      <c r="Y314" s="55" t="s">
        <v>1259</v>
      </c>
      <c r="Z314" s="55" t="s">
        <v>1271</v>
      </c>
    </row>
    <row r="315" spans="1:26">
      <c r="A315" s="55" t="s">
        <v>859</v>
      </c>
      <c r="B315" s="55" t="s">
        <v>272</v>
      </c>
      <c r="C315" s="55" t="s">
        <v>1142</v>
      </c>
      <c r="D315" s="55" t="s">
        <v>1143</v>
      </c>
      <c r="E315" s="55" t="s">
        <v>1143</v>
      </c>
      <c r="F315" s="55" t="s">
        <v>73</v>
      </c>
      <c r="G315" s="56">
        <v>1</v>
      </c>
      <c r="H315" s="56">
        <v>1</v>
      </c>
      <c r="I315" s="56">
        <v>0</v>
      </c>
      <c r="J315" s="56">
        <v>2</v>
      </c>
      <c r="K315" s="56">
        <v>0</v>
      </c>
      <c r="L315" s="56">
        <v>140060000</v>
      </c>
      <c r="M315" s="56">
        <v>143372.38</v>
      </c>
      <c r="N315" s="56">
        <v>2867447.52</v>
      </c>
      <c r="O315" s="56">
        <v>105</v>
      </c>
      <c r="P315" s="56">
        <v>0</v>
      </c>
      <c r="Q315" s="56">
        <v>0</v>
      </c>
      <c r="R315" s="56">
        <v>0</v>
      </c>
      <c r="S315" s="56">
        <v>0</v>
      </c>
      <c r="T315" s="55" t="s">
        <v>1157</v>
      </c>
      <c r="U315" s="55" t="s">
        <v>1145</v>
      </c>
      <c r="V315" s="55" t="s">
        <v>1146</v>
      </c>
      <c r="W315" s="55" t="s">
        <v>1147</v>
      </c>
      <c r="X315" s="55" t="s">
        <v>1159</v>
      </c>
      <c r="Y315" s="55" t="s">
        <v>1259</v>
      </c>
      <c r="Z315" s="55" t="s">
        <v>1194</v>
      </c>
    </row>
    <row r="316" spans="1:26">
      <c r="A316" s="55" t="s">
        <v>860</v>
      </c>
      <c r="B316" s="55" t="s">
        <v>272</v>
      </c>
      <c r="C316" s="55" t="s">
        <v>1142</v>
      </c>
      <c r="D316" s="55" t="s">
        <v>1143</v>
      </c>
      <c r="E316" s="55" t="s">
        <v>1143</v>
      </c>
      <c r="F316" s="55" t="s">
        <v>73</v>
      </c>
      <c r="G316" s="56">
        <v>1</v>
      </c>
      <c r="H316" s="56">
        <v>1</v>
      </c>
      <c r="I316" s="56">
        <v>0</v>
      </c>
      <c r="J316" s="56">
        <v>15</v>
      </c>
      <c r="K316" s="56">
        <v>0</v>
      </c>
      <c r="L316" s="56">
        <v>7861364.5</v>
      </c>
      <c r="M316" s="56">
        <v>577490.95</v>
      </c>
      <c r="N316" s="56">
        <v>2516761.5</v>
      </c>
      <c r="O316" s="56">
        <v>16</v>
      </c>
      <c r="P316" s="56">
        <v>0</v>
      </c>
      <c r="Q316" s="56">
        <v>0</v>
      </c>
      <c r="R316" s="56">
        <v>0</v>
      </c>
      <c r="S316" s="56">
        <v>0</v>
      </c>
      <c r="T316" s="55" t="s">
        <v>1152</v>
      </c>
      <c r="U316" s="55" t="s">
        <v>1165</v>
      </c>
      <c r="V316" s="55" t="s">
        <v>1153</v>
      </c>
      <c r="W316" s="55" t="s">
        <v>1180</v>
      </c>
      <c r="X316" s="55" t="s">
        <v>1154</v>
      </c>
      <c r="Y316" s="55" t="s">
        <v>1305</v>
      </c>
      <c r="Z316" s="55" t="s">
        <v>1193</v>
      </c>
    </row>
    <row r="317" spans="1:26">
      <c r="A317" s="55" t="s">
        <v>861</v>
      </c>
      <c r="B317" s="55" t="s">
        <v>272</v>
      </c>
      <c r="C317" s="55" t="s">
        <v>1142</v>
      </c>
      <c r="D317" s="55" t="s">
        <v>1143</v>
      </c>
      <c r="E317" s="55" t="s">
        <v>1143</v>
      </c>
      <c r="F317" s="55" t="s">
        <v>73</v>
      </c>
      <c r="G317" s="56">
        <v>1</v>
      </c>
      <c r="H317" s="56">
        <v>1</v>
      </c>
      <c r="I317" s="56">
        <v>0</v>
      </c>
      <c r="J317" s="56">
        <v>11</v>
      </c>
      <c r="K317" s="56">
        <v>0</v>
      </c>
      <c r="L317" s="56">
        <v>326118554.3</v>
      </c>
      <c r="M317" s="56">
        <v>15597198.4</v>
      </c>
      <c r="N317" s="56">
        <v>615791265.78</v>
      </c>
      <c r="O317" s="56">
        <v>106</v>
      </c>
      <c r="P317" s="56">
        <v>0</v>
      </c>
      <c r="Q317" s="56">
        <v>0</v>
      </c>
      <c r="R317" s="56">
        <v>0</v>
      </c>
      <c r="S317" s="56">
        <v>0</v>
      </c>
      <c r="T317" s="55" t="s">
        <v>1152</v>
      </c>
      <c r="U317" s="55" t="s">
        <v>1165</v>
      </c>
      <c r="V317" s="55" t="s">
        <v>1146</v>
      </c>
      <c r="Z317" s="55" t="s">
        <v>1156</v>
      </c>
    </row>
    <row r="318" spans="1:26">
      <c r="A318" s="55" t="s">
        <v>862</v>
      </c>
      <c r="B318" s="55" t="s">
        <v>272</v>
      </c>
      <c r="C318" s="55" t="s">
        <v>1142</v>
      </c>
      <c r="D318" s="55" t="s">
        <v>1143</v>
      </c>
      <c r="E318" s="55" t="s">
        <v>1143</v>
      </c>
      <c r="F318" s="55" t="s">
        <v>73</v>
      </c>
      <c r="G318" s="56">
        <v>1</v>
      </c>
      <c r="H318" s="56">
        <v>1</v>
      </c>
      <c r="I318" s="56">
        <v>0</v>
      </c>
      <c r="J318" s="56">
        <v>1</v>
      </c>
      <c r="K318" s="56">
        <v>0</v>
      </c>
      <c r="L318" s="56">
        <v>0</v>
      </c>
      <c r="M318" s="56">
        <v>1297921.21</v>
      </c>
      <c r="N318" s="56">
        <v>0</v>
      </c>
      <c r="O318" s="56">
        <v>34</v>
      </c>
      <c r="P318" s="56">
        <v>1</v>
      </c>
      <c r="Q318" s="56">
        <v>0</v>
      </c>
      <c r="R318" s="56">
        <v>0</v>
      </c>
      <c r="S318" s="56">
        <v>0</v>
      </c>
      <c r="T318" s="55" t="s">
        <v>1157</v>
      </c>
      <c r="U318" s="55" t="s">
        <v>1145</v>
      </c>
      <c r="V318" s="55" t="s">
        <v>1153</v>
      </c>
      <c r="W318" s="55" t="s">
        <v>1147</v>
      </c>
      <c r="X318" s="55" t="s">
        <v>1154</v>
      </c>
      <c r="Y318" s="55" t="s">
        <v>1259</v>
      </c>
      <c r="Z318" s="55" t="s">
        <v>1182</v>
      </c>
    </row>
    <row r="319" spans="1:26">
      <c r="A319" s="55" t="s">
        <v>863</v>
      </c>
      <c r="B319" s="55" t="s">
        <v>272</v>
      </c>
      <c r="C319" s="55" t="s">
        <v>1142</v>
      </c>
      <c r="D319" s="55" t="s">
        <v>1143</v>
      </c>
      <c r="E319" s="55" t="s">
        <v>1143</v>
      </c>
      <c r="F319" s="55" t="s">
        <v>73</v>
      </c>
      <c r="G319" s="56">
        <v>1</v>
      </c>
      <c r="H319" s="56">
        <v>1</v>
      </c>
      <c r="I319" s="56">
        <v>0</v>
      </c>
      <c r="J319" s="56">
        <v>1</v>
      </c>
      <c r="K319" s="56">
        <v>0</v>
      </c>
      <c r="L319" s="56">
        <v>0</v>
      </c>
      <c r="M319" s="56">
        <v>22664343.4</v>
      </c>
      <c r="N319" s="56">
        <v>429958105.8</v>
      </c>
      <c r="O319" s="56">
        <v>15</v>
      </c>
      <c r="P319" s="56">
        <v>1</v>
      </c>
      <c r="Q319" s="56">
        <v>0</v>
      </c>
      <c r="R319" s="56">
        <v>0</v>
      </c>
      <c r="S319" s="56">
        <v>0</v>
      </c>
      <c r="T319" s="55" t="s">
        <v>1157</v>
      </c>
      <c r="U319" s="55" t="s">
        <v>1165</v>
      </c>
      <c r="V319" s="55" t="s">
        <v>1153</v>
      </c>
      <c r="W319" s="55" t="s">
        <v>1147</v>
      </c>
      <c r="X319" s="55" t="s">
        <v>1221</v>
      </c>
      <c r="Y319" s="55" t="s">
        <v>1155</v>
      </c>
      <c r="Z319" s="55" t="s">
        <v>1307</v>
      </c>
    </row>
    <row r="320" spans="1:26">
      <c r="A320" s="55" t="s">
        <v>864</v>
      </c>
      <c r="B320" s="55" t="s">
        <v>272</v>
      </c>
      <c r="C320" s="55" t="s">
        <v>1142</v>
      </c>
      <c r="D320" s="55" t="s">
        <v>1213</v>
      </c>
      <c r="E320" s="55" t="s">
        <v>1214</v>
      </c>
      <c r="F320" s="55" t="s">
        <v>76</v>
      </c>
      <c r="H320" s="56">
        <v>1</v>
      </c>
      <c r="I320" s="56">
        <v>0</v>
      </c>
      <c r="J320" s="56">
        <v>1</v>
      </c>
      <c r="K320" s="56">
        <v>0</v>
      </c>
      <c r="L320" s="56">
        <v>0</v>
      </c>
      <c r="M320" s="56">
        <v>0</v>
      </c>
      <c r="N320" s="56">
        <v>0</v>
      </c>
      <c r="O320" s="56">
        <v>72</v>
      </c>
      <c r="P320" s="56">
        <v>1</v>
      </c>
      <c r="Q320" s="56">
        <v>0</v>
      </c>
      <c r="R320" s="56">
        <v>0</v>
      </c>
      <c r="S320" s="56">
        <v>0</v>
      </c>
      <c r="T320" s="55" t="s">
        <v>1157</v>
      </c>
      <c r="U320" s="55" t="s">
        <v>1165</v>
      </c>
      <c r="V320" s="55" t="s">
        <v>1153</v>
      </c>
      <c r="W320" s="55" t="s">
        <v>1168</v>
      </c>
      <c r="X320" s="55" t="s">
        <v>1221</v>
      </c>
      <c r="Y320" s="55" t="s">
        <v>1259</v>
      </c>
      <c r="Z320" s="55" t="s">
        <v>1196</v>
      </c>
    </row>
    <row r="321" spans="1:26">
      <c r="A321" s="55" t="s">
        <v>865</v>
      </c>
      <c r="B321" s="55" t="s">
        <v>272</v>
      </c>
      <c r="C321" s="55" t="s">
        <v>1142</v>
      </c>
      <c r="D321" s="55" t="s">
        <v>1143</v>
      </c>
      <c r="E321" s="55" t="s">
        <v>1143</v>
      </c>
      <c r="F321" s="55" t="s">
        <v>73</v>
      </c>
      <c r="G321" s="56">
        <v>1</v>
      </c>
      <c r="H321" s="56">
        <v>1</v>
      </c>
      <c r="I321" s="56">
        <v>0</v>
      </c>
      <c r="J321" s="56">
        <v>2</v>
      </c>
      <c r="K321" s="56">
        <v>0</v>
      </c>
      <c r="L321" s="56">
        <v>80460000</v>
      </c>
      <c r="M321" s="56">
        <v>0</v>
      </c>
      <c r="N321" s="56">
        <v>0</v>
      </c>
      <c r="O321" s="56">
        <v>74</v>
      </c>
      <c r="P321" s="56">
        <v>0</v>
      </c>
      <c r="Q321" s="56">
        <v>0</v>
      </c>
      <c r="R321" s="56">
        <v>0</v>
      </c>
      <c r="S321" s="56">
        <v>0</v>
      </c>
      <c r="T321" s="55" t="s">
        <v>1167</v>
      </c>
      <c r="U321" s="55" t="s">
        <v>1145</v>
      </c>
      <c r="V321" s="55" t="s">
        <v>1153</v>
      </c>
      <c r="W321" s="55" t="s">
        <v>1147</v>
      </c>
      <c r="X321" s="55" t="s">
        <v>1154</v>
      </c>
      <c r="Y321" s="55" t="s">
        <v>1259</v>
      </c>
      <c r="Z321" s="55" t="s">
        <v>1211</v>
      </c>
    </row>
    <row r="322" spans="1:26">
      <c r="A322" s="55" t="s">
        <v>866</v>
      </c>
      <c r="B322" s="55" t="s">
        <v>272</v>
      </c>
      <c r="C322" s="55" t="s">
        <v>1142</v>
      </c>
      <c r="D322" s="55" t="s">
        <v>1143</v>
      </c>
      <c r="E322" s="55" t="s">
        <v>1143</v>
      </c>
      <c r="F322" s="55" t="s">
        <v>73</v>
      </c>
      <c r="G322" s="56">
        <v>1</v>
      </c>
      <c r="H322" s="56">
        <v>1</v>
      </c>
      <c r="I322" s="56">
        <v>0</v>
      </c>
      <c r="J322" s="56">
        <v>1</v>
      </c>
      <c r="K322" s="56">
        <v>0</v>
      </c>
      <c r="L322" s="56">
        <v>0</v>
      </c>
      <c r="M322" s="56">
        <v>7673536.97</v>
      </c>
      <c r="N322" s="56">
        <v>703018674.9</v>
      </c>
      <c r="O322" s="56">
        <v>20</v>
      </c>
      <c r="P322" s="56">
        <v>1</v>
      </c>
      <c r="Q322" s="56">
        <v>0</v>
      </c>
      <c r="R322" s="56">
        <v>0</v>
      </c>
      <c r="S322" s="56">
        <v>0</v>
      </c>
      <c r="T322" s="55" t="s">
        <v>1157</v>
      </c>
      <c r="U322" s="55" t="s">
        <v>1145</v>
      </c>
      <c r="V322" s="55" t="s">
        <v>1153</v>
      </c>
      <c r="W322" s="55" t="s">
        <v>1147</v>
      </c>
      <c r="X322" s="55" t="s">
        <v>1154</v>
      </c>
      <c r="Y322" s="55" t="s">
        <v>1259</v>
      </c>
      <c r="Z322" s="55" t="s">
        <v>1185</v>
      </c>
    </row>
    <row r="323" spans="1:26">
      <c r="A323" s="55" t="s">
        <v>867</v>
      </c>
      <c r="B323" s="55" t="s">
        <v>272</v>
      </c>
      <c r="C323" s="55" t="s">
        <v>1142</v>
      </c>
      <c r="D323" s="55" t="s">
        <v>1143</v>
      </c>
      <c r="E323" s="55" t="s">
        <v>1143</v>
      </c>
      <c r="F323" s="55" t="s">
        <v>73</v>
      </c>
      <c r="G323" s="56">
        <v>1</v>
      </c>
      <c r="H323" s="56">
        <v>1</v>
      </c>
      <c r="I323" s="56">
        <v>0</v>
      </c>
      <c r="J323" s="56">
        <v>3</v>
      </c>
      <c r="K323" s="56">
        <v>0</v>
      </c>
      <c r="L323" s="56">
        <v>56408000</v>
      </c>
      <c r="M323" s="56">
        <v>10143030.39</v>
      </c>
      <c r="N323" s="56">
        <v>56408000</v>
      </c>
      <c r="O323" s="56">
        <v>52</v>
      </c>
      <c r="P323" s="56">
        <v>0</v>
      </c>
      <c r="Q323" s="56">
        <v>0</v>
      </c>
      <c r="R323" s="56">
        <v>0</v>
      </c>
      <c r="S323" s="56">
        <v>0</v>
      </c>
      <c r="T323" s="55" t="s">
        <v>1157</v>
      </c>
      <c r="U323" s="55" t="s">
        <v>1165</v>
      </c>
      <c r="V323" s="55" t="s">
        <v>1146</v>
      </c>
      <c r="W323" s="55" t="s">
        <v>1180</v>
      </c>
      <c r="X323" s="55" t="s">
        <v>1154</v>
      </c>
      <c r="Y323" s="55" t="s">
        <v>1259</v>
      </c>
      <c r="Z323" s="55" t="s">
        <v>1166</v>
      </c>
    </row>
    <row r="324" spans="1:26">
      <c r="A324" s="55" t="s">
        <v>868</v>
      </c>
      <c r="B324" s="55" t="s">
        <v>272</v>
      </c>
      <c r="C324" s="55" t="s">
        <v>1142</v>
      </c>
      <c r="D324" s="55" t="s">
        <v>1143</v>
      </c>
      <c r="E324" s="55" t="s">
        <v>1143</v>
      </c>
      <c r="F324" s="55" t="s">
        <v>73</v>
      </c>
      <c r="G324" s="56">
        <v>1</v>
      </c>
      <c r="H324" s="56">
        <v>1</v>
      </c>
      <c r="I324" s="56">
        <v>0</v>
      </c>
      <c r="J324" s="56">
        <v>1</v>
      </c>
      <c r="K324" s="56">
        <v>0</v>
      </c>
      <c r="L324" s="56">
        <v>0</v>
      </c>
      <c r="M324" s="56">
        <v>6792196.18</v>
      </c>
      <c r="N324" s="56">
        <v>117396611.5</v>
      </c>
      <c r="O324" s="56">
        <v>44</v>
      </c>
      <c r="P324" s="56">
        <v>1</v>
      </c>
      <c r="Q324" s="56">
        <v>0</v>
      </c>
      <c r="R324" s="56">
        <v>0</v>
      </c>
      <c r="S324" s="56">
        <v>0</v>
      </c>
      <c r="T324" s="55" t="s">
        <v>1152</v>
      </c>
      <c r="U324" s="55" t="s">
        <v>1165</v>
      </c>
      <c r="V324" s="55" t="s">
        <v>1146</v>
      </c>
      <c r="W324" s="55" t="s">
        <v>1147</v>
      </c>
      <c r="X324" s="55" t="s">
        <v>1275</v>
      </c>
      <c r="Y324" s="55" t="s">
        <v>1305</v>
      </c>
      <c r="Z324" s="55" t="s">
        <v>1185</v>
      </c>
    </row>
    <row r="325" spans="1:26">
      <c r="A325" s="55" t="s">
        <v>869</v>
      </c>
      <c r="B325" s="55" t="s">
        <v>272</v>
      </c>
      <c r="C325" s="55" t="s">
        <v>1142</v>
      </c>
      <c r="D325" s="55" t="s">
        <v>1143</v>
      </c>
      <c r="E325" s="55" t="s">
        <v>1143</v>
      </c>
      <c r="F325" s="55" t="s">
        <v>73</v>
      </c>
      <c r="G325" s="56">
        <v>1</v>
      </c>
      <c r="H325" s="56">
        <v>1</v>
      </c>
      <c r="I325" s="56">
        <v>0</v>
      </c>
      <c r="J325" s="56">
        <v>12</v>
      </c>
      <c r="K325" s="56">
        <v>0</v>
      </c>
      <c r="L325" s="56">
        <v>627662500</v>
      </c>
      <c r="M325" s="56">
        <v>16982578.68</v>
      </c>
      <c r="N325" s="56">
        <v>339651573.51</v>
      </c>
      <c r="O325" s="56">
        <v>236</v>
      </c>
      <c r="P325" s="56">
        <v>0</v>
      </c>
      <c r="Q325" s="56">
        <v>0</v>
      </c>
      <c r="R325" s="56">
        <v>0</v>
      </c>
      <c r="S325" s="56">
        <v>0</v>
      </c>
      <c r="T325" s="55" t="s">
        <v>1173</v>
      </c>
      <c r="U325" s="55" t="s">
        <v>1165</v>
      </c>
      <c r="V325" s="55" t="s">
        <v>1146</v>
      </c>
      <c r="W325" s="55" t="s">
        <v>1147</v>
      </c>
      <c r="X325" s="55" t="s">
        <v>1154</v>
      </c>
      <c r="Y325" s="55" t="s">
        <v>1308</v>
      </c>
      <c r="Z325" s="55" t="s">
        <v>1170</v>
      </c>
    </row>
    <row r="326" spans="1:26">
      <c r="A326" s="55" t="s">
        <v>870</v>
      </c>
      <c r="B326" s="55" t="s">
        <v>546</v>
      </c>
      <c r="C326" s="55" t="s">
        <v>1151</v>
      </c>
      <c r="D326" s="55" t="s">
        <v>87</v>
      </c>
      <c r="E326" s="55" t="s">
        <v>87</v>
      </c>
      <c r="F326" s="55" t="s">
        <v>75</v>
      </c>
      <c r="G326" s="56">
        <v>5</v>
      </c>
      <c r="H326" s="56">
        <v>5</v>
      </c>
      <c r="I326" s="56">
        <v>1175</v>
      </c>
      <c r="J326" s="56">
        <v>10</v>
      </c>
      <c r="K326" s="56">
        <v>0</v>
      </c>
      <c r="L326" s="56">
        <v>0</v>
      </c>
      <c r="M326" s="56">
        <v>0</v>
      </c>
      <c r="N326" s="56">
        <v>16802122.76</v>
      </c>
      <c r="O326" s="56">
        <v>58</v>
      </c>
      <c r="P326" s="56">
        <v>1</v>
      </c>
      <c r="Q326" s="56">
        <v>0</v>
      </c>
      <c r="R326" s="56">
        <v>1</v>
      </c>
      <c r="S326" s="56">
        <v>1</v>
      </c>
      <c r="T326" s="55" t="s">
        <v>1173</v>
      </c>
      <c r="U326" s="55" t="s">
        <v>1165</v>
      </c>
      <c r="V326" s="55" t="s">
        <v>1153</v>
      </c>
      <c r="W326" s="55" t="s">
        <v>1147</v>
      </c>
      <c r="X326" s="55" t="s">
        <v>1159</v>
      </c>
      <c r="Y326" s="55" t="s">
        <v>1256</v>
      </c>
      <c r="Z326" s="55" t="s">
        <v>1185</v>
      </c>
    </row>
    <row r="327" spans="1:26">
      <c r="A327" s="55" t="s">
        <v>871</v>
      </c>
      <c r="B327" s="55" t="s">
        <v>272</v>
      </c>
      <c r="C327" s="55" t="s">
        <v>1142</v>
      </c>
      <c r="D327" s="55" t="s">
        <v>1143</v>
      </c>
      <c r="E327" s="55" t="s">
        <v>1143</v>
      </c>
      <c r="F327" s="55" t="s">
        <v>73</v>
      </c>
      <c r="G327" s="56">
        <v>1</v>
      </c>
      <c r="H327" s="56">
        <v>1</v>
      </c>
      <c r="I327" s="56">
        <v>0</v>
      </c>
      <c r="J327" s="56">
        <v>14</v>
      </c>
      <c r="K327" s="56">
        <v>0</v>
      </c>
      <c r="L327" s="56">
        <v>560240000</v>
      </c>
      <c r="M327" s="56">
        <v>9206276.74</v>
      </c>
      <c r="N327" s="56">
        <v>184125534.82</v>
      </c>
      <c r="O327" s="56">
        <v>140</v>
      </c>
      <c r="P327" s="56">
        <v>0</v>
      </c>
      <c r="Q327" s="56">
        <v>0</v>
      </c>
      <c r="R327" s="56">
        <v>0</v>
      </c>
      <c r="S327" s="56">
        <v>0</v>
      </c>
      <c r="T327" s="55" t="s">
        <v>1167</v>
      </c>
      <c r="U327" s="55" t="s">
        <v>1145</v>
      </c>
      <c r="V327" s="55" t="s">
        <v>1146</v>
      </c>
      <c r="W327" s="55" t="s">
        <v>1180</v>
      </c>
      <c r="X327" s="55" t="s">
        <v>1154</v>
      </c>
      <c r="Y327" s="55" t="s">
        <v>1309</v>
      </c>
      <c r="Z327" s="55" t="s">
        <v>1196</v>
      </c>
    </row>
    <row r="328" spans="1:26">
      <c r="A328" s="55" t="s">
        <v>872</v>
      </c>
      <c r="B328" s="55" t="s">
        <v>546</v>
      </c>
      <c r="C328" s="55" t="s">
        <v>1151</v>
      </c>
      <c r="D328" s="55" t="s">
        <v>87</v>
      </c>
      <c r="E328" s="55" t="s">
        <v>87</v>
      </c>
      <c r="F328" s="55" t="s">
        <v>75</v>
      </c>
      <c r="G328" s="56">
        <v>5</v>
      </c>
      <c r="H328" s="56">
        <v>5</v>
      </c>
      <c r="I328" s="56">
        <v>285</v>
      </c>
      <c r="J328" s="56">
        <v>156</v>
      </c>
      <c r="K328" s="56">
        <v>0</v>
      </c>
      <c r="L328" s="56">
        <v>1044510.82</v>
      </c>
      <c r="M328" s="56">
        <v>517206.5</v>
      </c>
      <c r="N328" s="56">
        <v>6407365.109999999</v>
      </c>
      <c r="O328" s="56">
        <v>24</v>
      </c>
      <c r="P328" s="56">
        <v>0</v>
      </c>
      <c r="Q328" s="56">
        <v>0</v>
      </c>
      <c r="R328" s="56">
        <v>1</v>
      </c>
      <c r="S328" s="56">
        <v>1</v>
      </c>
      <c r="T328" s="55" t="s">
        <v>1162</v>
      </c>
      <c r="U328" s="55" t="s">
        <v>1145</v>
      </c>
      <c r="V328" s="55" t="s">
        <v>1153</v>
      </c>
      <c r="W328" s="55" t="s">
        <v>1168</v>
      </c>
      <c r="X328" s="55" t="s">
        <v>1154</v>
      </c>
      <c r="Y328" s="55" t="s">
        <v>1253</v>
      </c>
      <c r="Z328" s="55" t="s">
        <v>1211</v>
      </c>
    </row>
    <row r="329" spans="1:26">
      <c r="A329" s="55" t="s">
        <v>873</v>
      </c>
      <c r="B329" s="55" t="s">
        <v>272</v>
      </c>
      <c r="C329" s="55" t="s">
        <v>1142</v>
      </c>
      <c r="D329" s="55" t="s">
        <v>1143</v>
      </c>
      <c r="E329" s="55" t="s">
        <v>1143</v>
      </c>
      <c r="F329" s="55" t="s">
        <v>73</v>
      </c>
      <c r="G329" s="56">
        <v>1</v>
      </c>
      <c r="H329" s="56">
        <v>1</v>
      </c>
      <c r="I329" s="56">
        <v>0</v>
      </c>
      <c r="J329" s="56">
        <v>2</v>
      </c>
      <c r="K329" s="56">
        <v>0</v>
      </c>
      <c r="L329" s="56">
        <v>50660000</v>
      </c>
      <c r="M329" s="56">
        <v>144062.14</v>
      </c>
      <c r="N329" s="56">
        <v>2881242.72</v>
      </c>
      <c r="O329" s="56">
        <v>106</v>
      </c>
      <c r="P329" s="56">
        <v>0</v>
      </c>
      <c r="Q329" s="56">
        <v>0</v>
      </c>
      <c r="R329" s="56">
        <v>0</v>
      </c>
      <c r="S329" s="56">
        <v>0</v>
      </c>
      <c r="T329" s="55" t="s">
        <v>1152</v>
      </c>
      <c r="U329" s="55" t="s">
        <v>1145</v>
      </c>
      <c r="V329" s="55" t="s">
        <v>1146</v>
      </c>
      <c r="Z329" s="55" t="s">
        <v>1229</v>
      </c>
    </row>
    <row r="330" spans="1:26">
      <c r="A330" s="55" t="s">
        <v>874</v>
      </c>
      <c r="B330" s="55" t="s">
        <v>272</v>
      </c>
      <c r="C330" s="55" t="s">
        <v>1142</v>
      </c>
      <c r="D330" s="55" t="s">
        <v>1143</v>
      </c>
      <c r="E330" s="55" t="s">
        <v>1143</v>
      </c>
      <c r="F330" s="55" t="s">
        <v>73</v>
      </c>
      <c r="G330" s="56">
        <v>1</v>
      </c>
      <c r="H330" s="56">
        <v>1</v>
      </c>
      <c r="I330" s="56">
        <v>0</v>
      </c>
      <c r="J330" s="56">
        <v>2</v>
      </c>
      <c r="K330" s="56">
        <v>0</v>
      </c>
      <c r="L330" s="56">
        <v>335250000</v>
      </c>
      <c r="M330" s="56">
        <v>464932.66</v>
      </c>
      <c r="N330" s="56">
        <v>9298653.199999999</v>
      </c>
      <c r="O330" s="56">
        <v>118</v>
      </c>
      <c r="P330" s="56">
        <v>0</v>
      </c>
      <c r="Q330" s="56">
        <v>0</v>
      </c>
      <c r="R330" s="56">
        <v>0</v>
      </c>
      <c r="S330" s="56">
        <v>0</v>
      </c>
      <c r="T330" s="55" t="s">
        <v>1144</v>
      </c>
      <c r="U330" s="55" t="s">
        <v>1145</v>
      </c>
      <c r="V330" s="55" t="s">
        <v>1146</v>
      </c>
      <c r="W330" s="55" t="s">
        <v>1180</v>
      </c>
      <c r="X330" s="55" t="s">
        <v>1154</v>
      </c>
      <c r="Y330" s="55" t="s">
        <v>1253</v>
      </c>
      <c r="Z330" s="55" t="s">
        <v>1166</v>
      </c>
    </row>
    <row r="331" spans="1:26">
      <c r="A331" s="55" t="s">
        <v>875</v>
      </c>
      <c r="B331" s="55" t="s">
        <v>272</v>
      </c>
      <c r="C331" s="55" t="s">
        <v>1142</v>
      </c>
      <c r="D331" s="55" t="s">
        <v>1143</v>
      </c>
      <c r="E331" s="55" t="s">
        <v>1143</v>
      </c>
      <c r="F331" s="55" t="s">
        <v>73</v>
      </c>
      <c r="G331" s="56">
        <v>1</v>
      </c>
      <c r="H331" s="56">
        <v>1</v>
      </c>
      <c r="I331" s="56">
        <v>0</v>
      </c>
      <c r="J331" s="56">
        <v>2</v>
      </c>
      <c r="K331" s="56">
        <v>0</v>
      </c>
      <c r="L331" s="56">
        <v>13139126.36</v>
      </c>
      <c r="M331" s="56">
        <v>1517117.62</v>
      </c>
      <c r="N331" s="56">
        <v>4125330.66</v>
      </c>
      <c r="O331" s="56">
        <v>3</v>
      </c>
      <c r="P331" s="56">
        <v>0</v>
      </c>
      <c r="Q331" s="56">
        <v>0</v>
      </c>
      <c r="R331" s="56">
        <v>0</v>
      </c>
      <c r="S331" s="56">
        <v>0</v>
      </c>
      <c r="T331" s="55" t="s">
        <v>1157</v>
      </c>
      <c r="U331" s="55" t="s">
        <v>1145</v>
      </c>
      <c r="V331" s="55" t="s">
        <v>1153</v>
      </c>
      <c r="W331" s="55" t="s">
        <v>1180</v>
      </c>
      <c r="X331" s="55" t="s">
        <v>1154</v>
      </c>
      <c r="Y331" s="55" t="s">
        <v>1253</v>
      </c>
      <c r="Z331" s="55" t="s">
        <v>1230</v>
      </c>
    </row>
    <row r="332" spans="1:26">
      <c r="A332" s="55" t="s">
        <v>876</v>
      </c>
      <c r="B332" s="55" t="s">
        <v>272</v>
      </c>
      <c r="C332" s="55" t="s">
        <v>1142</v>
      </c>
      <c r="D332" s="55" t="s">
        <v>1143</v>
      </c>
      <c r="E332" s="55" t="s">
        <v>1143</v>
      </c>
      <c r="F332" s="55" t="s">
        <v>73</v>
      </c>
      <c r="G332" s="56">
        <v>1</v>
      </c>
      <c r="H332" s="56">
        <v>1</v>
      </c>
      <c r="I332" s="56">
        <v>0</v>
      </c>
      <c r="J332" s="56">
        <v>2</v>
      </c>
      <c r="K332" s="56">
        <v>0</v>
      </c>
      <c r="L332" s="56">
        <v>0</v>
      </c>
      <c r="M332" s="56">
        <v>5477751.15</v>
      </c>
      <c r="N332" s="56">
        <v>383374800</v>
      </c>
      <c r="O332" s="56">
        <v>64</v>
      </c>
      <c r="P332" s="56">
        <v>1</v>
      </c>
      <c r="Q332" s="56">
        <v>0</v>
      </c>
      <c r="R332" s="56">
        <v>0</v>
      </c>
      <c r="S332" s="56">
        <v>0</v>
      </c>
      <c r="T332" s="55" t="s">
        <v>1144</v>
      </c>
      <c r="U332" s="55" t="s">
        <v>1145</v>
      </c>
      <c r="V332" s="55" t="s">
        <v>1310</v>
      </c>
      <c r="W332" s="55" t="s">
        <v>1168</v>
      </c>
      <c r="X332" s="55" t="s">
        <v>1154</v>
      </c>
      <c r="Y332" s="55" t="s">
        <v>1253</v>
      </c>
      <c r="Z332" s="55" t="s">
        <v>1230</v>
      </c>
    </row>
    <row r="333" spans="1:26">
      <c r="A333" s="55" t="s">
        <v>877</v>
      </c>
      <c r="B333" s="55" t="s">
        <v>272</v>
      </c>
      <c r="C333" s="55" t="s">
        <v>1187</v>
      </c>
      <c r="D333" s="55" t="s">
        <v>1143</v>
      </c>
      <c r="E333" s="55" t="s">
        <v>1188</v>
      </c>
      <c r="F333" s="55" t="s">
        <v>73</v>
      </c>
      <c r="G333" s="56">
        <v>1</v>
      </c>
      <c r="H333" s="56">
        <v>2</v>
      </c>
      <c r="I333" s="56">
        <v>0</v>
      </c>
      <c r="J333" s="56">
        <v>6</v>
      </c>
      <c r="K333" s="56">
        <v>1</v>
      </c>
      <c r="L333" s="56">
        <v>3057083.18</v>
      </c>
      <c r="M333" s="56">
        <v>1266888.2</v>
      </c>
      <c r="N333" s="56">
        <v>3057083.18</v>
      </c>
      <c r="O333" s="56">
        <v>11</v>
      </c>
      <c r="P333" s="56">
        <v>0</v>
      </c>
      <c r="Q333" s="56">
        <v>0</v>
      </c>
      <c r="R333" s="56">
        <v>0</v>
      </c>
      <c r="S333" s="56">
        <v>0</v>
      </c>
      <c r="T333" s="55" t="s">
        <v>1157</v>
      </c>
      <c r="U333" s="55" t="s">
        <v>1145</v>
      </c>
      <c r="V333" s="55" t="s">
        <v>1153</v>
      </c>
      <c r="Z333" s="55" t="s">
        <v>1196</v>
      </c>
    </row>
    <row r="334" spans="1:26">
      <c r="A334" s="55" t="s">
        <v>878</v>
      </c>
      <c r="B334" s="55" t="s">
        <v>272</v>
      </c>
      <c r="C334" s="55" t="s">
        <v>1142</v>
      </c>
      <c r="D334" s="55" t="s">
        <v>1143</v>
      </c>
      <c r="E334" s="55" t="s">
        <v>1143</v>
      </c>
      <c r="F334" s="55" t="s">
        <v>73</v>
      </c>
      <c r="G334" s="56">
        <v>1</v>
      </c>
      <c r="H334" s="56">
        <v>1</v>
      </c>
      <c r="I334" s="56">
        <v>0</v>
      </c>
      <c r="J334" s="56">
        <v>2</v>
      </c>
      <c r="K334" s="56">
        <v>0</v>
      </c>
      <c r="L334" s="56">
        <v>0</v>
      </c>
      <c r="M334" s="56">
        <v>7345831.61</v>
      </c>
      <c r="N334" s="56">
        <v>213326235.4</v>
      </c>
      <c r="O334" s="56">
        <v>53</v>
      </c>
      <c r="P334" s="56">
        <v>1</v>
      </c>
      <c r="Q334" s="56">
        <v>0</v>
      </c>
      <c r="R334" s="56">
        <v>0</v>
      </c>
      <c r="S334" s="56">
        <v>0</v>
      </c>
      <c r="T334" s="55" t="s">
        <v>1167</v>
      </c>
      <c r="U334" s="55" t="s">
        <v>1165</v>
      </c>
      <c r="V334" s="55" t="s">
        <v>1146</v>
      </c>
      <c r="W334" s="55" t="s">
        <v>1147</v>
      </c>
      <c r="X334" s="55" t="s">
        <v>1154</v>
      </c>
      <c r="Y334" s="55" t="s">
        <v>1311</v>
      </c>
      <c r="Z334" s="55" t="s">
        <v>1257</v>
      </c>
    </row>
    <row r="335" spans="1:26">
      <c r="A335" s="55" t="s">
        <v>879</v>
      </c>
      <c r="B335" s="55" t="s">
        <v>272</v>
      </c>
      <c r="C335" s="55" t="s">
        <v>1142</v>
      </c>
      <c r="D335" s="55" t="s">
        <v>1143</v>
      </c>
      <c r="E335" s="55" t="s">
        <v>1143</v>
      </c>
      <c r="F335" s="55" t="s">
        <v>73</v>
      </c>
      <c r="G335" s="56">
        <v>1</v>
      </c>
      <c r="H335" s="56">
        <v>1</v>
      </c>
      <c r="I335" s="56">
        <v>0</v>
      </c>
      <c r="J335" s="56">
        <v>4</v>
      </c>
      <c r="K335" s="56">
        <v>0</v>
      </c>
      <c r="L335" s="56">
        <v>192210000</v>
      </c>
      <c r="M335" s="56">
        <v>1424614.85</v>
      </c>
      <c r="N335" s="56">
        <v>28492296.96</v>
      </c>
      <c r="O335" s="56">
        <v>63</v>
      </c>
      <c r="P335" s="56">
        <v>0</v>
      </c>
      <c r="Q335" s="56">
        <v>0</v>
      </c>
      <c r="R335" s="56">
        <v>0</v>
      </c>
      <c r="S335" s="56">
        <v>0</v>
      </c>
      <c r="T335" s="55" t="s">
        <v>1167</v>
      </c>
      <c r="U335" s="55" t="s">
        <v>1145</v>
      </c>
      <c r="V335" s="55" t="s">
        <v>1146</v>
      </c>
      <c r="W335" s="55" t="s">
        <v>1147</v>
      </c>
      <c r="X335" s="55" t="s">
        <v>1154</v>
      </c>
      <c r="Y335" s="55" t="s">
        <v>1256</v>
      </c>
      <c r="Z335" s="55" t="s">
        <v>1250</v>
      </c>
    </row>
    <row r="336" spans="1:26">
      <c r="A336" s="55" t="s">
        <v>880</v>
      </c>
      <c r="B336" s="55" t="s">
        <v>546</v>
      </c>
      <c r="C336" s="55" t="s">
        <v>1151</v>
      </c>
      <c r="D336" s="55" t="s">
        <v>87</v>
      </c>
      <c r="E336" s="55" t="s">
        <v>87</v>
      </c>
      <c r="F336" s="55" t="s">
        <v>75</v>
      </c>
      <c r="G336" s="56">
        <v>5</v>
      </c>
      <c r="H336" s="56">
        <v>5</v>
      </c>
      <c r="I336" s="56">
        <v>1419</v>
      </c>
      <c r="J336" s="56">
        <v>106</v>
      </c>
      <c r="K336" s="56">
        <v>1</v>
      </c>
      <c r="L336" s="56">
        <v>41947739</v>
      </c>
      <c r="M336" s="56">
        <v>5260530.86</v>
      </c>
      <c r="N336" s="56">
        <v>59113452.97</v>
      </c>
      <c r="O336" s="56">
        <v>85</v>
      </c>
      <c r="P336" s="56">
        <v>0</v>
      </c>
      <c r="Q336" s="56">
        <v>0</v>
      </c>
      <c r="R336" s="56">
        <v>1</v>
      </c>
      <c r="S336" s="56">
        <v>1</v>
      </c>
      <c r="T336" s="55" t="s">
        <v>1167</v>
      </c>
      <c r="U336" s="55" t="s">
        <v>1145</v>
      </c>
      <c r="V336" s="55" t="s">
        <v>1146</v>
      </c>
      <c r="W336" s="55" t="s">
        <v>1147</v>
      </c>
      <c r="X336" s="55" t="s">
        <v>1159</v>
      </c>
      <c r="Y336" s="55" t="s">
        <v>1210</v>
      </c>
      <c r="Z336" s="55" t="s">
        <v>1166</v>
      </c>
    </row>
    <row r="337" spans="1:26">
      <c r="A337" s="55" t="s">
        <v>881</v>
      </c>
      <c r="B337" s="55" t="s">
        <v>272</v>
      </c>
      <c r="C337" s="55" t="s">
        <v>1142</v>
      </c>
      <c r="D337" s="55" t="s">
        <v>1143</v>
      </c>
      <c r="E337" s="55" t="s">
        <v>1143</v>
      </c>
      <c r="F337" s="55" t="s">
        <v>73</v>
      </c>
      <c r="G337" s="56">
        <v>1</v>
      </c>
      <c r="H337" s="56">
        <v>1</v>
      </c>
      <c r="I337" s="56">
        <v>0</v>
      </c>
      <c r="J337" s="56">
        <v>1</v>
      </c>
      <c r="K337" s="56">
        <v>0</v>
      </c>
      <c r="L337" s="56">
        <v>172840000</v>
      </c>
      <c r="M337" s="56">
        <v>1782417.42</v>
      </c>
      <c r="N337" s="56">
        <v>35648348.4</v>
      </c>
      <c r="O337" s="56">
        <v>98</v>
      </c>
      <c r="P337" s="56">
        <v>0</v>
      </c>
      <c r="Q337" s="56">
        <v>0</v>
      </c>
      <c r="R337" s="56">
        <v>0</v>
      </c>
      <c r="S337" s="56">
        <v>0</v>
      </c>
      <c r="T337" s="55" t="s">
        <v>1167</v>
      </c>
      <c r="U337" s="55" t="s">
        <v>1165</v>
      </c>
      <c r="V337" s="55" t="s">
        <v>1146</v>
      </c>
      <c r="W337" s="55" t="s">
        <v>1168</v>
      </c>
      <c r="X337" s="55" t="s">
        <v>1148</v>
      </c>
      <c r="Y337" s="55" t="s">
        <v>1253</v>
      </c>
      <c r="Z337" s="55" t="s">
        <v>1172</v>
      </c>
    </row>
    <row r="338" spans="1:26">
      <c r="A338" s="55" t="s">
        <v>882</v>
      </c>
      <c r="B338" s="55" t="s">
        <v>272</v>
      </c>
      <c r="C338" s="55" t="s">
        <v>1142</v>
      </c>
      <c r="D338" s="55" t="s">
        <v>1143</v>
      </c>
      <c r="E338" s="55" t="s">
        <v>1143</v>
      </c>
      <c r="F338" s="55" t="s">
        <v>73</v>
      </c>
      <c r="G338" s="56">
        <v>1</v>
      </c>
      <c r="H338" s="56">
        <v>1</v>
      </c>
      <c r="I338" s="56">
        <v>0</v>
      </c>
      <c r="J338" s="56">
        <v>49</v>
      </c>
      <c r="K338" s="56">
        <v>0</v>
      </c>
      <c r="L338" s="56">
        <v>35760000</v>
      </c>
      <c r="M338" s="56">
        <v>929785.1800000001</v>
      </c>
      <c r="N338" s="56">
        <v>18595703.5</v>
      </c>
      <c r="O338" s="56">
        <v>49</v>
      </c>
      <c r="P338" s="56">
        <v>0</v>
      </c>
      <c r="Q338" s="56">
        <v>0</v>
      </c>
      <c r="R338" s="56">
        <v>0</v>
      </c>
      <c r="S338" s="56">
        <v>0</v>
      </c>
      <c r="T338" s="55" t="s">
        <v>1167</v>
      </c>
      <c r="U338" s="55" t="s">
        <v>1145</v>
      </c>
      <c r="V338" s="55" t="s">
        <v>1153</v>
      </c>
      <c r="W338" s="55" t="s">
        <v>1168</v>
      </c>
      <c r="X338" s="55" t="s">
        <v>1154</v>
      </c>
      <c r="Y338" s="55" t="s">
        <v>1256</v>
      </c>
      <c r="Z338" s="55" t="s">
        <v>1193</v>
      </c>
    </row>
    <row r="339" spans="1:26">
      <c r="A339" s="55" t="s">
        <v>883</v>
      </c>
      <c r="B339" s="55" t="s">
        <v>272</v>
      </c>
      <c r="C339" s="55" t="s">
        <v>1142</v>
      </c>
      <c r="D339" s="55" t="s">
        <v>1143</v>
      </c>
      <c r="E339" s="55" t="s">
        <v>1143</v>
      </c>
      <c r="F339" s="55" t="s">
        <v>73</v>
      </c>
      <c r="G339" s="56">
        <v>1</v>
      </c>
      <c r="H339" s="56">
        <v>1</v>
      </c>
      <c r="I339" s="56">
        <v>0</v>
      </c>
      <c r="J339" s="56">
        <v>1</v>
      </c>
      <c r="K339" s="56">
        <v>0</v>
      </c>
      <c r="L339" s="56">
        <v>0</v>
      </c>
      <c r="M339" s="56">
        <v>1553032.19</v>
      </c>
      <c r="N339" s="56">
        <v>27685909.08</v>
      </c>
      <c r="O339" s="56">
        <v>98</v>
      </c>
      <c r="P339" s="56">
        <v>1</v>
      </c>
      <c r="Q339" s="56">
        <v>0</v>
      </c>
      <c r="R339" s="56">
        <v>0</v>
      </c>
      <c r="S339" s="56">
        <v>0</v>
      </c>
      <c r="T339" s="55" t="s">
        <v>1157</v>
      </c>
      <c r="U339" s="55" t="s">
        <v>1145</v>
      </c>
      <c r="V339" s="55" t="s">
        <v>1153</v>
      </c>
      <c r="W339" s="55" t="s">
        <v>1168</v>
      </c>
      <c r="X339" s="55" t="s">
        <v>1275</v>
      </c>
      <c r="Y339" s="55" t="s">
        <v>1312</v>
      </c>
      <c r="Z339" s="55" t="s">
        <v>1161</v>
      </c>
    </row>
    <row r="340" spans="1:26">
      <c r="A340" s="55" t="s">
        <v>884</v>
      </c>
      <c r="B340" s="55" t="s">
        <v>272</v>
      </c>
      <c r="C340" s="55" t="s">
        <v>1187</v>
      </c>
      <c r="D340" s="55" t="s">
        <v>1188</v>
      </c>
      <c r="E340" s="55" t="s">
        <v>1188</v>
      </c>
      <c r="F340" s="55" t="s">
        <v>74</v>
      </c>
      <c r="G340" s="56">
        <v>2</v>
      </c>
      <c r="H340" s="56">
        <v>2</v>
      </c>
      <c r="I340" s="56">
        <v>74</v>
      </c>
      <c r="J340" s="56">
        <v>5</v>
      </c>
      <c r="K340" s="56">
        <v>1</v>
      </c>
      <c r="L340" s="56">
        <v>309808.8</v>
      </c>
      <c r="M340" s="56">
        <v>432764.54</v>
      </c>
      <c r="N340" s="56">
        <v>309808.8</v>
      </c>
      <c r="O340" s="56">
        <v>11</v>
      </c>
      <c r="P340" s="56">
        <v>0</v>
      </c>
      <c r="Q340" s="56">
        <v>0</v>
      </c>
      <c r="R340" s="56">
        <v>0</v>
      </c>
      <c r="S340" s="56">
        <v>1</v>
      </c>
      <c r="T340" s="55" t="s">
        <v>1152</v>
      </c>
      <c r="U340" s="55" t="s">
        <v>1165</v>
      </c>
      <c r="V340" s="55" t="s">
        <v>1146</v>
      </c>
      <c r="W340" s="55" t="s">
        <v>1180</v>
      </c>
      <c r="X340" s="55" t="s">
        <v>1159</v>
      </c>
      <c r="Y340" s="55" t="s">
        <v>1253</v>
      </c>
      <c r="Z340" s="55" t="s">
        <v>1238</v>
      </c>
    </row>
    <row r="341" spans="1:26">
      <c r="A341" s="55" t="s">
        <v>885</v>
      </c>
      <c r="B341" s="55" t="s">
        <v>272</v>
      </c>
      <c r="C341" s="55" t="s">
        <v>1142</v>
      </c>
      <c r="D341" s="55" t="s">
        <v>1143</v>
      </c>
      <c r="E341" s="55" t="s">
        <v>1143</v>
      </c>
      <c r="F341" s="55" t="s">
        <v>73</v>
      </c>
      <c r="G341" s="56">
        <v>1</v>
      </c>
      <c r="H341" s="56">
        <v>1</v>
      </c>
      <c r="I341" s="56">
        <v>0</v>
      </c>
      <c r="J341" s="56">
        <v>8</v>
      </c>
      <c r="K341" s="56">
        <v>0</v>
      </c>
      <c r="L341" s="56">
        <v>468754000</v>
      </c>
      <c r="M341" s="56">
        <v>337561.78</v>
      </c>
      <c r="N341" s="56">
        <v>6751235.55</v>
      </c>
      <c r="O341" s="56">
        <v>148</v>
      </c>
      <c r="P341" s="56">
        <v>0</v>
      </c>
      <c r="Q341" s="56">
        <v>0</v>
      </c>
      <c r="R341" s="56">
        <v>0</v>
      </c>
      <c r="S341" s="56">
        <v>0</v>
      </c>
      <c r="T341" s="55" t="s">
        <v>1157</v>
      </c>
      <c r="U341" s="55" t="s">
        <v>1165</v>
      </c>
      <c r="V341" s="55" t="s">
        <v>1153</v>
      </c>
      <c r="W341" s="55" t="s">
        <v>1181</v>
      </c>
      <c r="X341" s="55" t="s">
        <v>1159</v>
      </c>
      <c r="Y341" s="55" t="s">
        <v>1253</v>
      </c>
      <c r="Z341" s="55" t="s">
        <v>1211</v>
      </c>
    </row>
    <row r="342" spans="1:26">
      <c r="A342" s="55" t="s">
        <v>886</v>
      </c>
      <c r="B342" s="55" t="s">
        <v>272</v>
      </c>
      <c r="C342" s="55" t="s">
        <v>1142</v>
      </c>
      <c r="D342" s="55" t="s">
        <v>1143</v>
      </c>
      <c r="E342" s="55" t="s">
        <v>1143</v>
      </c>
      <c r="F342" s="55" t="s">
        <v>73</v>
      </c>
      <c r="G342" s="56">
        <v>1</v>
      </c>
      <c r="H342" s="56">
        <v>1</v>
      </c>
      <c r="I342" s="56">
        <v>0</v>
      </c>
      <c r="J342" s="56">
        <v>5</v>
      </c>
      <c r="K342" s="56">
        <v>0</v>
      </c>
      <c r="L342" s="56">
        <v>156450000</v>
      </c>
      <c r="M342" s="56">
        <v>92780.39999999999</v>
      </c>
      <c r="N342" s="56">
        <v>1855608</v>
      </c>
      <c r="O342" s="56">
        <v>129</v>
      </c>
      <c r="P342" s="56">
        <v>0</v>
      </c>
      <c r="Q342" s="56">
        <v>0</v>
      </c>
      <c r="R342" s="56">
        <v>0</v>
      </c>
      <c r="S342" s="56">
        <v>0</v>
      </c>
      <c r="T342" s="55" t="s">
        <v>1173</v>
      </c>
      <c r="U342" s="55" t="s">
        <v>1145</v>
      </c>
      <c r="V342" s="55" t="s">
        <v>1153</v>
      </c>
      <c r="W342" s="55" t="s">
        <v>1147</v>
      </c>
      <c r="X342" s="55" t="s">
        <v>1154</v>
      </c>
      <c r="Y342" s="55" t="s">
        <v>1210</v>
      </c>
      <c r="Z342" s="55" t="s">
        <v>1254</v>
      </c>
    </row>
    <row r="343" spans="1:26">
      <c r="A343" s="55" t="s">
        <v>887</v>
      </c>
      <c r="B343" s="55" t="s">
        <v>272</v>
      </c>
      <c r="C343" s="55" t="s">
        <v>1142</v>
      </c>
      <c r="D343" s="55" t="s">
        <v>1143</v>
      </c>
      <c r="E343" s="55" t="s">
        <v>1143</v>
      </c>
      <c r="F343" s="55" t="s">
        <v>73</v>
      </c>
      <c r="G343" s="56">
        <v>1</v>
      </c>
      <c r="H343" s="56">
        <v>1</v>
      </c>
      <c r="I343" s="56">
        <v>0</v>
      </c>
      <c r="J343" s="56">
        <v>60</v>
      </c>
      <c r="K343" s="56">
        <v>0</v>
      </c>
      <c r="L343" s="56">
        <v>0</v>
      </c>
      <c r="M343" s="56">
        <v>1298630.7</v>
      </c>
      <c r="N343" s="56">
        <v>693.5</v>
      </c>
      <c r="O343" s="56">
        <v>34</v>
      </c>
      <c r="P343" s="56">
        <v>1</v>
      </c>
      <c r="Q343" s="56">
        <v>0</v>
      </c>
      <c r="R343" s="56">
        <v>0</v>
      </c>
      <c r="S343" s="56">
        <v>0</v>
      </c>
      <c r="T343" s="55" t="s">
        <v>1167</v>
      </c>
      <c r="U343" s="55" t="s">
        <v>1145</v>
      </c>
      <c r="V343" s="55" t="s">
        <v>1153</v>
      </c>
      <c r="W343" s="55" t="s">
        <v>1181</v>
      </c>
      <c r="X343" s="55" t="s">
        <v>1154</v>
      </c>
      <c r="Y343" s="55" t="s">
        <v>1253</v>
      </c>
      <c r="Z343" s="55" t="s">
        <v>1164</v>
      </c>
    </row>
    <row r="344" spans="1:26">
      <c r="A344" s="55" t="s">
        <v>888</v>
      </c>
      <c r="B344" s="55" t="s">
        <v>546</v>
      </c>
      <c r="C344" s="55" t="s">
        <v>1151</v>
      </c>
      <c r="D344" s="55" t="s">
        <v>87</v>
      </c>
      <c r="E344" s="55" t="s">
        <v>87</v>
      </c>
      <c r="F344" s="55" t="s">
        <v>75</v>
      </c>
      <c r="G344" s="56">
        <v>5</v>
      </c>
      <c r="H344" s="56">
        <v>5</v>
      </c>
      <c r="I344" s="56">
        <v>385</v>
      </c>
      <c r="J344" s="56">
        <v>208</v>
      </c>
      <c r="K344" s="56">
        <v>0</v>
      </c>
      <c r="L344" s="56">
        <v>8237276.37</v>
      </c>
      <c r="M344" s="56">
        <v>773335.4</v>
      </c>
      <c r="N344" s="56">
        <v>14142302.17</v>
      </c>
      <c r="O344" s="56">
        <v>30</v>
      </c>
      <c r="P344" s="56">
        <v>0</v>
      </c>
      <c r="Q344" s="56">
        <v>0</v>
      </c>
      <c r="R344" s="56">
        <v>1</v>
      </c>
      <c r="S344" s="56">
        <v>1</v>
      </c>
      <c r="T344" s="55" t="s">
        <v>1152</v>
      </c>
      <c r="U344" s="55" t="s">
        <v>1145</v>
      </c>
      <c r="V344" s="55" t="s">
        <v>1153</v>
      </c>
      <c r="W344" s="55" t="s">
        <v>1168</v>
      </c>
      <c r="X344" s="55" t="s">
        <v>1154</v>
      </c>
      <c r="Y344" s="55" t="s">
        <v>1253</v>
      </c>
      <c r="Z344" s="55" t="s">
        <v>1267</v>
      </c>
    </row>
    <row r="345" spans="1:26">
      <c r="A345" s="55" t="s">
        <v>889</v>
      </c>
      <c r="B345" s="55" t="s">
        <v>272</v>
      </c>
      <c r="C345" s="55" t="s">
        <v>1142</v>
      </c>
      <c r="D345" s="55" t="s">
        <v>1143</v>
      </c>
      <c r="E345" s="55" t="s">
        <v>1143</v>
      </c>
      <c r="F345" s="55" t="s">
        <v>73</v>
      </c>
      <c r="G345" s="56">
        <v>1</v>
      </c>
      <c r="H345" s="56">
        <v>1</v>
      </c>
      <c r="I345" s="56">
        <v>0</v>
      </c>
      <c r="J345" s="56">
        <v>5</v>
      </c>
      <c r="K345" s="56">
        <v>0</v>
      </c>
      <c r="L345" s="56">
        <v>31290000</v>
      </c>
      <c r="M345" s="56">
        <v>13506.48</v>
      </c>
      <c r="N345" s="56">
        <v>270129.6</v>
      </c>
      <c r="O345" s="56">
        <v>68</v>
      </c>
      <c r="P345" s="56">
        <v>0</v>
      </c>
      <c r="Q345" s="56">
        <v>0</v>
      </c>
      <c r="R345" s="56">
        <v>0</v>
      </c>
      <c r="S345" s="56">
        <v>0</v>
      </c>
      <c r="T345" s="55" t="s">
        <v>1157</v>
      </c>
      <c r="U345" s="55" t="s">
        <v>1165</v>
      </c>
      <c r="V345" s="55" t="s">
        <v>1153</v>
      </c>
      <c r="W345" s="55" t="s">
        <v>1181</v>
      </c>
      <c r="X345" s="55" t="s">
        <v>1163</v>
      </c>
      <c r="Y345" s="55" t="s">
        <v>1256</v>
      </c>
      <c r="Z345" s="55" t="s">
        <v>1185</v>
      </c>
    </row>
    <row r="346" spans="1:26">
      <c r="A346" s="55" t="s">
        <v>890</v>
      </c>
      <c r="B346" s="55" t="s">
        <v>546</v>
      </c>
      <c r="C346" s="55" t="s">
        <v>1151</v>
      </c>
      <c r="D346" s="55" t="s">
        <v>87</v>
      </c>
      <c r="E346" s="55" t="s">
        <v>87</v>
      </c>
      <c r="F346" s="55" t="s">
        <v>75</v>
      </c>
      <c r="G346" s="56">
        <v>5</v>
      </c>
      <c r="H346" s="56">
        <v>5</v>
      </c>
      <c r="I346" s="56">
        <v>545</v>
      </c>
      <c r="J346" s="56">
        <v>19</v>
      </c>
      <c r="K346" s="56">
        <v>0</v>
      </c>
      <c r="L346" s="56">
        <v>0</v>
      </c>
      <c r="M346" s="56">
        <v>1329023.9</v>
      </c>
      <c r="N346" s="56">
        <v>16625923.91</v>
      </c>
      <c r="O346" s="56">
        <v>70</v>
      </c>
      <c r="P346" s="56">
        <v>1</v>
      </c>
      <c r="Q346" s="56">
        <v>0</v>
      </c>
      <c r="R346" s="56">
        <v>1</v>
      </c>
      <c r="S346" s="56">
        <v>1</v>
      </c>
      <c r="T346" s="55" t="s">
        <v>1157</v>
      </c>
      <c r="U346" s="55" t="s">
        <v>1165</v>
      </c>
      <c r="V346" s="55" t="s">
        <v>1153</v>
      </c>
      <c r="W346" s="55" t="s">
        <v>1181</v>
      </c>
      <c r="X346" s="55" t="s">
        <v>1313</v>
      </c>
      <c r="Y346" s="55" t="s">
        <v>1253</v>
      </c>
      <c r="Z346" s="55" t="s">
        <v>1172</v>
      </c>
    </row>
    <row r="347" spans="1:26">
      <c r="A347" s="55" t="s">
        <v>891</v>
      </c>
      <c r="B347" s="55" t="s">
        <v>272</v>
      </c>
      <c r="C347" s="55" t="s">
        <v>1187</v>
      </c>
      <c r="D347" s="55" t="s">
        <v>1143</v>
      </c>
      <c r="E347" s="55" t="s">
        <v>1188</v>
      </c>
      <c r="F347" s="55" t="s">
        <v>73</v>
      </c>
      <c r="G347" s="56">
        <v>1</v>
      </c>
      <c r="H347" s="56">
        <v>2</v>
      </c>
      <c r="I347" s="56">
        <v>0</v>
      </c>
      <c r="J347" s="56">
        <v>7</v>
      </c>
      <c r="K347" s="56">
        <v>0</v>
      </c>
      <c r="L347" s="56">
        <v>74500000</v>
      </c>
      <c r="M347" s="56">
        <v>2388527.3</v>
      </c>
      <c r="N347" s="56">
        <v>47770545.92</v>
      </c>
      <c r="O347" s="56">
        <v>105</v>
      </c>
      <c r="P347" s="56">
        <v>0</v>
      </c>
      <c r="Q347" s="56">
        <v>0</v>
      </c>
      <c r="R347" s="56">
        <v>0</v>
      </c>
      <c r="S347" s="56">
        <v>0</v>
      </c>
      <c r="T347" s="55" t="s">
        <v>1152</v>
      </c>
      <c r="U347" s="55" t="s">
        <v>1145</v>
      </c>
      <c r="V347" s="55" t="s">
        <v>1146</v>
      </c>
      <c r="Z347" s="55" t="s">
        <v>1150</v>
      </c>
    </row>
    <row r="348" spans="1:26">
      <c r="A348" s="55" t="s">
        <v>892</v>
      </c>
      <c r="B348" s="55" t="s">
        <v>272</v>
      </c>
      <c r="C348" s="55" t="s">
        <v>1187</v>
      </c>
      <c r="D348" s="55" t="s">
        <v>1188</v>
      </c>
      <c r="E348" s="55" t="s">
        <v>1188</v>
      </c>
      <c r="F348" s="55" t="s">
        <v>74</v>
      </c>
      <c r="G348" s="56">
        <v>2</v>
      </c>
      <c r="H348" s="56">
        <v>2</v>
      </c>
      <c r="I348" s="56">
        <v>37</v>
      </c>
      <c r="J348" s="56">
        <v>5</v>
      </c>
      <c r="K348" s="56">
        <v>1</v>
      </c>
      <c r="L348" s="56">
        <v>150490000</v>
      </c>
      <c r="M348" s="56">
        <v>4100082.02</v>
      </c>
      <c r="N348" s="56">
        <v>82001640.45</v>
      </c>
      <c r="O348" s="56">
        <v>141</v>
      </c>
      <c r="P348" s="56">
        <v>0</v>
      </c>
      <c r="Q348" s="56">
        <v>0</v>
      </c>
      <c r="R348" s="56">
        <v>0</v>
      </c>
      <c r="S348" s="56">
        <v>1</v>
      </c>
      <c r="T348" s="55" t="s">
        <v>1173</v>
      </c>
      <c r="U348" s="55" t="s">
        <v>1165</v>
      </c>
      <c r="V348" s="55" t="s">
        <v>1146</v>
      </c>
      <c r="W348" s="55" t="s">
        <v>1180</v>
      </c>
      <c r="X348" s="55" t="s">
        <v>1159</v>
      </c>
      <c r="Y348" s="55" t="s">
        <v>1256</v>
      </c>
      <c r="Z348" s="55" t="s">
        <v>1193</v>
      </c>
    </row>
    <row r="349" spans="1:26">
      <c r="A349" s="55" t="s">
        <v>893</v>
      </c>
      <c r="B349" s="55" t="s">
        <v>272</v>
      </c>
      <c r="C349" s="55" t="s">
        <v>1142</v>
      </c>
      <c r="D349" s="55" t="s">
        <v>1143</v>
      </c>
      <c r="E349" s="55" t="s">
        <v>1143</v>
      </c>
      <c r="F349" s="55" t="s">
        <v>73</v>
      </c>
      <c r="G349" s="56">
        <v>1</v>
      </c>
      <c r="H349" s="56">
        <v>1</v>
      </c>
      <c r="I349" s="56">
        <v>0</v>
      </c>
      <c r="J349" s="56">
        <v>2</v>
      </c>
      <c r="K349" s="56">
        <v>0</v>
      </c>
      <c r="L349" s="56">
        <v>19370000</v>
      </c>
      <c r="M349" s="56">
        <v>579929.02</v>
      </c>
      <c r="N349" s="56">
        <v>11598580.38</v>
      </c>
      <c r="O349" s="56">
        <v>48</v>
      </c>
      <c r="P349" s="56">
        <v>0</v>
      </c>
      <c r="Q349" s="56">
        <v>0</v>
      </c>
      <c r="R349" s="56">
        <v>0</v>
      </c>
      <c r="S349" s="56">
        <v>0</v>
      </c>
      <c r="T349" s="55" t="s">
        <v>1173</v>
      </c>
      <c r="U349" s="55" t="s">
        <v>1145</v>
      </c>
      <c r="V349" s="55" t="s">
        <v>1146</v>
      </c>
      <c r="Z349" s="55" t="s">
        <v>1177</v>
      </c>
    </row>
    <row r="350" spans="1:26">
      <c r="A350" s="55" t="s">
        <v>894</v>
      </c>
      <c r="B350" s="55" t="s">
        <v>272</v>
      </c>
      <c r="C350" s="55" t="s">
        <v>1142</v>
      </c>
      <c r="D350" s="55" t="s">
        <v>1143</v>
      </c>
      <c r="E350" s="55" t="s">
        <v>1143</v>
      </c>
      <c r="F350" s="55" t="s">
        <v>73</v>
      </c>
      <c r="G350" s="56">
        <v>1</v>
      </c>
      <c r="H350" s="56">
        <v>1</v>
      </c>
      <c r="I350" s="56">
        <v>0</v>
      </c>
      <c r="J350" s="56">
        <v>10</v>
      </c>
      <c r="K350" s="56">
        <v>0</v>
      </c>
      <c r="L350" s="56">
        <v>311410000</v>
      </c>
      <c r="M350" s="56">
        <v>1974397.06</v>
      </c>
      <c r="N350" s="56">
        <v>39487941.18</v>
      </c>
      <c r="O350" s="56">
        <v>185</v>
      </c>
      <c r="P350" s="56">
        <v>0</v>
      </c>
      <c r="Q350" s="56">
        <v>0</v>
      </c>
      <c r="R350" s="56">
        <v>0</v>
      </c>
      <c r="S350" s="56">
        <v>0</v>
      </c>
      <c r="T350" s="55" t="s">
        <v>1157</v>
      </c>
      <c r="U350" s="55" t="s">
        <v>1145</v>
      </c>
      <c r="V350" s="55" t="s">
        <v>1146</v>
      </c>
      <c r="W350" s="55" t="s">
        <v>1168</v>
      </c>
      <c r="X350" s="55" t="s">
        <v>1154</v>
      </c>
      <c r="Y350" s="55" t="s">
        <v>1256</v>
      </c>
      <c r="Z350" s="55" t="s">
        <v>1166</v>
      </c>
    </row>
    <row r="351" spans="1:26">
      <c r="A351" s="55" t="s">
        <v>895</v>
      </c>
      <c r="B351" s="55" t="s">
        <v>272</v>
      </c>
      <c r="C351" s="55" t="s">
        <v>1142</v>
      </c>
      <c r="D351" s="55" t="s">
        <v>1143</v>
      </c>
      <c r="E351" s="55" t="s">
        <v>1143</v>
      </c>
      <c r="F351" s="55" t="s">
        <v>73</v>
      </c>
      <c r="G351" s="56">
        <v>1</v>
      </c>
      <c r="H351" s="56">
        <v>1</v>
      </c>
      <c r="I351" s="56">
        <v>0</v>
      </c>
      <c r="J351" s="56">
        <v>3</v>
      </c>
      <c r="K351" s="56">
        <v>0</v>
      </c>
      <c r="L351" s="56">
        <v>26820000</v>
      </c>
      <c r="M351" s="56">
        <v>314391.07</v>
      </c>
      <c r="N351" s="56">
        <v>6287821.36</v>
      </c>
      <c r="O351" s="56">
        <v>47</v>
      </c>
      <c r="P351" s="56">
        <v>0</v>
      </c>
      <c r="Q351" s="56">
        <v>0</v>
      </c>
      <c r="R351" s="56">
        <v>0</v>
      </c>
      <c r="S351" s="56">
        <v>0</v>
      </c>
      <c r="T351" s="55" t="s">
        <v>1157</v>
      </c>
      <c r="U351" s="55" t="s">
        <v>1165</v>
      </c>
      <c r="V351" s="55" t="s">
        <v>1314</v>
      </c>
      <c r="W351" s="55" t="s">
        <v>1147</v>
      </c>
      <c r="X351" s="55" t="s">
        <v>1154</v>
      </c>
      <c r="Y351" s="55" t="s">
        <v>1210</v>
      </c>
      <c r="Z351" s="55" t="s">
        <v>1230</v>
      </c>
    </row>
    <row r="352" spans="1:26">
      <c r="A352" s="55" t="s">
        <v>896</v>
      </c>
      <c r="B352" s="55" t="s">
        <v>272</v>
      </c>
      <c r="C352" s="55" t="s">
        <v>1187</v>
      </c>
      <c r="D352" s="55" t="s">
        <v>1143</v>
      </c>
      <c r="E352" s="55" t="s">
        <v>1143</v>
      </c>
      <c r="F352" s="55" t="s">
        <v>73</v>
      </c>
      <c r="G352" s="56">
        <v>1</v>
      </c>
      <c r="H352" s="56">
        <v>1</v>
      </c>
      <c r="I352" s="56">
        <v>0</v>
      </c>
      <c r="J352" s="56">
        <v>70</v>
      </c>
      <c r="K352" s="56">
        <v>0</v>
      </c>
      <c r="L352" s="56">
        <v>69371208.06</v>
      </c>
      <c r="M352" s="56">
        <v>9180746.17</v>
      </c>
      <c r="N352" s="56">
        <v>136378814.86</v>
      </c>
      <c r="O352" s="56">
        <v>46</v>
      </c>
      <c r="P352" s="56">
        <v>0</v>
      </c>
      <c r="Q352" s="56">
        <v>0</v>
      </c>
      <c r="R352" s="56">
        <v>0</v>
      </c>
      <c r="S352" s="56">
        <v>0</v>
      </c>
      <c r="T352" s="55" t="s">
        <v>1167</v>
      </c>
      <c r="U352" s="55" t="s">
        <v>1145</v>
      </c>
      <c r="V352" s="55" t="s">
        <v>1146</v>
      </c>
      <c r="W352" s="55" t="s">
        <v>1147</v>
      </c>
      <c r="X352" s="55" t="s">
        <v>1154</v>
      </c>
      <c r="Y352" s="55" t="s">
        <v>1281</v>
      </c>
      <c r="Z352" s="55" t="s">
        <v>1252</v>
      </c>
    </row>
    <row r="353" spans="1:26">
      <c r="A353" s="55" t="s">
        <v>897</v>
      </c>
      <c r="B353" s="55" t="s">
        <v>272</v>
      </c>
      <c r="C353" s="55" t="s">
        <v>1142</v>
      </c>
      <c r="D353" s="55" t="s">
        <v>1143</v>
      </c>
      <c r="E353" s="55" t="s">
        <v>1143</v>
      </c>
      <c r="F353" s="55" t="s">
        <v>73</v>
      </c>
      <c r="G353" s="56">
        <v>1</v>
      </c>
      <c r="H353" s="56">
        <v>1</v>
      </c>
      <c r="I353" s="56">
        <v>0</v>
      </c>
      <c r="J353" s="56">
        <v>7</v>
      </c>
      <c r="K353" s="56">
        <v>0</v>
      </c>
      <c r="L353" s="56">
        <v>9733582.939999999</v>
      </c>
      <c r="M353" s="56">
        <v>7511367.73</v>
      </c>
      <c r="N353" s="56">
        <v>353172768.89</v>
      </c>
      <c r="O353" s="56">
        <v>75</v>
      </c>
      <c r="P353" s="56">
        <v>0</v>
      </c>
      <c r="Q353" s="56">
        <v>0</v>
      </c>
      <c r="R353" s="56">
        <v>0</v>
      </c>
      <c r="S353" s="56">
        <v>0</v>
      </c>
      <c r="T353" s="55" t="s">
        <v>1157</v>
      </c>
      <c r="U353" s="55" t="s">
        <v>1145</v>
      </c>
      <c r="V353" s="55" t="s">
        <v>1153</v>
      </c>
      <c r="W353" s="55" t="s">
        <v>1147</v>
      </c>
      <c r="X353" s="55" t="s">
        <v>1159</v>
      </c>
      <c r="Y353" s="55" t="s">
        <v>1281</v>
      </c>
      <c r="Z353" s="55" t="s">
        <v>1166</v>
      </c>
    </row>
    <row r="354" spans="1:26">
      <c r="A354" s="55" t="s">
        <v>898</v>
      </c>
      <c r="B354" s="55" t="s">
        <v>272</v>
      </c>
      <c r="C354" s="55" t="s">
        <v>1142</v>
      </c>
      <c r="D354" s="55" t="s">
        <v>1143</v>
      </c>
      <c r="E354" s="55" t="s">
        <v>1143</v>
      </c>
      <c r="F354" s="55" t="s">
        <v>73</v>
      </c>
      <c r="G354" s="56">
        <v>1</v>
      </c>
      <c r="H354" s="56">
        <v>1</v>
      </c>
      <c r="I354" s="56">
        <v>0</v>
      </c>
      <c r="J354" s="56">
        <v>1</v>
      </c>
      <c r="K354" s="56">
        <v>0</v>
      </c>
      <c r="L354" s="56">
        <v>0</v>
      </c>
      <c r="M354" s="56">
        <v>1912588.16</v>
      </c>
      <c r="N354" s="56">
        <v>220541295.5</v>
      </c>
      <c r="O354" s="56">
        <v>5</v>
      </c>
      <c r="P354" s="56">
        <v>1</v>
      </c>
      <c r="Q354" s="56">
        <v>0</v>
      </c>
      <c r="R354" s="56">
        <v>0</v>
      </c>
      <c r="S354" s="56">
        <v>0</v>
      </c>
      <c r="T354" s="55" t="s">
        <v>1167</v>
      </c>
      <c r="U354" s="55" t="s">
        <v>1145</v>
      </c>
      <c r="V354" s="55" t="s">
        <v>1153</v>
      </c>
      <c r="W354" s="55" t="s">
        <v>1180</v>
      </c>
      <c r="X354" s="55" t="s">
        <v>1154</v>
      </c>
      <c r="Y354" s="55" t="s">
        <v>1281</v>
      </c>
      <c r="Z354" s="55" t="s">
        <v>1166</v>
      </c>
    </row>
    <row r="355" spans="1:26">
      <c r="A355" s="55" t="s">
        <v>899</v>
      </c>
      <c r="B355" s="55" t="s">
        <v>272</v>
      </c>
      <c r="C355" s="55" t="s">
        <v>1142</v>
      </c>
      <c r="D355" s="55" t="s">
        <v>1143</v>
      </c>
      <c r="E355" s="55" t="s">
        <v>1143</v>
      </c>
      <c r="F355" s="55" t="s">
        <v>73</v>
      </c>
      <c r="G355" s="56">
        <v>1</v>
      </c>
      <c r="H355" s="56">
        <v>1</v>
      </c>
      <c r="I355" s="56">
        <v>0</v>
      </c>
      <c r="J355" s="56">
        <v>1</v>
      </c>
      <c r="K355" s="56">
        <v>0</v>
      </c>
      <c r="L355" s="56">
        <v>38740000</v>
      </c>
      <c r="M355" s="56">
        <v>664832.21</v>
      </c>
      <c r="N355" s="56">
        <v>13296644.22</v>
      </c>
      <c r="O355" s="56">
        <v>52</v>
      </c>
      <c r="P355" s="56">
        <v>0</v>
      </c>
      <c r="Q355" s="56">
        <v>0</v>
      </c>
      <c r="R355" s="56">
        <v>0</v>
      </c>
      <c r="S355" s="56">
        <v>0</v>
      </c>
      <c r="T355" s="55" t="s">
        <v>1173</v>
      </c>
      <c r="U355" s="55" t="s">
        <v>1145</v>
      </c>
      <c r="V355" s="55" t="s">
        <v>1232</v>
      </c>
      <c r="W355" s="55" t="s">
        <v>1147</v>
      </c>
      <c r="X355" s="55" t="s">
        <v>1198</v>
      </c>
      <c r="Y355" s="55" t="s">
        <v>1281</v>
      </c>
      <c r="Z355" s="55" t="s">
        <v>1230</v>
      </c>
    </row>
    <row r="356" spans="1:26">
      <c r="A356" s="55" t="s">
        <v>900</v>
      </c>
      <c r="B356" s="55" t="s">
        <v>272</v>
      </c>
      <c r="C356" s="55" t="s">
        <v>1142</v>
      </c>
      <c r="D356" s="55" t="s">
        <v>1143</v>
      </c>
      <c r="E356" s="55" t="s">
        <v>1143</v>
      </c>
      <c r="F356" s="55" t="s">
        <v>73</v>
      </c>
      <c r="G356" s="56">
        <v>1</v>
      </c>
      <c r="H356" s="56">
        <v>1</v>
      </c>
      <c r="I356" s="56">
        <v>0</v>
      </c>
      <c r="J356" s="56">
        <v>27</v>
      </c>
      <c r="K356" s="56">
        <v>0</v>
      </c>
      <c r="L356" s="56">
        <v>140065328.63</v>
      </c>
      <c r="M356" s="56">
        <v>20105284.66</v>
      </c>
      <c r="N356" s="56">
        <v>1099067230.76</v>
      </c>
      <c r="O356" s="56">
        <v>85</v>
      </c>
      <c r="P356" s="56">
        <v>0</v>
      </c>
      <c r="Q356" s="56">
        <v>0</v>
      </c>
      <c r="R356" s="56">
        <v>0</v>
      </c>
      <c r="S356" s="56">
        <v>0</v>
      </c>
      <c r="T356" s="55" t="s">
        <v>1162</v>
      </c>
      <c r="U356" s="55" t="s">
        <v>1145</v>
      </c>
      <c r="V356" s="55" t="s">
        <v>1153</v>
      </c>
      <c r="W356" s="55" t="s">
        <v>1168</v>
      </c>
      <c r="X356" s="55" t="s">
        <v>1221</v>
      </c>
      <c r="Y356" s="55" t="s">
        <v>1256</v>
      </c>
      <c r="Z356" s="55" t="s">
        <v>1156</v>
      </c>
    </row>
    <row r="357" spans="1:26">
      <c r="A357" s="55" t="s">
        <v>901</v>
      </c>
      <c r="B357" s="55" t="s">
        <v>272</v>
      </c>
      <c r="C357" s="55" t="s">
        <v>1142</v>
      </c>
      <c r="D357" s="55" t="s">
        <v>1143</v>
      </c>
      <c r="E357" s="55" t="s">
        <v>1143</v>
      </c>
      <c r="F357" s="55" t="s">
        <v>73</v>
      </c>
      <c r="G357" s="56">
        <v>1</v>
      </c>
      <c r="H357" s="56">
        <v>1</v>
      </c>
      <c r="I357" s="56">
        <v>0</v>
      </c>
      <c r="J357" s="56">
        <v>6</v>
      </c>
      <c r="K357" s="56">
        <v>0</v>
      </c>
      <c r="L357" s="56">
        <v>369222000</v>
      </c>
      <c r="M357" s="56">
        <v>952997.99</v>
      </c>
      <c r="N357" s="56">
        <v>19059959.87</v>
      </c>
      <c r="O357" s="56">
        <v>142</v>
      </c>
      <c r="P357" s="56">
        <v>0</v>
      </c>
      <c r="Q357" s="56">
        <v>0</v>
      </c>
      <c r="R357" s="56">
        <v>0</v>
      </c>
      <c r="S357" s="56">
        <v>0</v>
      </c>
      <c r="T357" s="55" t="s">
        <v>1255</v>
      </c>
      <c r="U357" s="55" t="s">
        <v>1145</v>
      </c>
      <c r="V357" s="55" t="s">
        <v>1146</v>
      </c>
      <c r="W357" s="55" t="s">
        <v>1180</v>
      </c>
      <c r="X357" s="55" t="s">
        <v>1154</v>
      </c>
      <c r="Y357" s="55" t="s">
        <v>1281</v>
      </c>
      <c r="Z357" s="55" t="s">
        <v>1299</v>
      </c>
    </row>
    <row r="358" spans="1:26">
      <c r="A358" s="55" t="s">
        <v>902</v>
      </c>
      <c r="B358" s="55" t="s">
        <v>272</v>
      </c>
      <c r="C358" s="55" t="s">
        <v>1142</v>
      </c>
      <c r="D358" s="55" t="s">
        <v>1143</v>
      </c>
      <c r="E358" s="55" t="s">
        <v>1143</v>
      </c>
      <c r="F358" s="55" t="s">
        <v>73</v>
      </c>
      <c r="G358" s="56">
        <v>1</v>
      </c>
      <c r="H358" s="56">
        <v>1</v>
      </c>
      <c r="I358" s="56">
        <v>0</v>
      </c>
      <c r="J358" s="56">
        <v>12</v>
      </c>
      <c r="K358" s="56">
        <v>0</v>
      </c>
      <c r="L358" s="56">
        <v>0</v>
      </c>
      <c r="M358" s="56">
        <v>57541132.19</v>
      </c>
      <c r="N358" s="56">
        <v>2716468885.83</v>
      </c>
      <c r="O358" s="56">
        <v>248</v>
      </c>
      <c r="P358" s="56">
        <v>1</v>
      </c>
      <c r="Q358" s="56">
        <v>0</v>
      </c>
      <c r="R358" s="56">
        <v>0</v>
      </c>
      <c r="S358" s="56">
        <v>0</v>
      </c>
      <c r="T358" s="55" t="s">
        <v>1144</v>
      </c>
      <c r="U358" s="55" t="s">
        <v>1145</v>
      </c>
      <c r="V358" s="55" t="s">
        <v>1146</v>
      </c>
      <c r="W358" s="55" t="s">
        <v>1180</v>
      </c>
      <c r="X358" s="55" t="s">
        <v>1154</v>
      </c>
      <c r="Y358" s="55" t="s">
        <v>1315</v>
      </c>
      <c r="Z358" s="55" t="s">
        <v>1193</v>
      </c>
    </row>
    <row r="359" spans="1:26">
      <c r="A359" s="55" t="s">
        <v>903</v>
      </c>
      <c r="B359" s="55" t="s">
        <v>272</v>
      </c>
      <c r="C359" s="55" t="s">
        <v>1187</v>
      </c>
      <c r="D359" s="55" t="s">
        <v>1188</v>
      </c>
      <c r="E359" s="55" t="s">
        <v>1188</v>
      </c>
      <c r="F359" s="55" t="s">
        <v>74</v>
      </c>
      <c r="G359" s="56">
        <v>2</v>
      </c>
      <c r="H359" s="56">
        <v>2</v>
      </c>
      <c r="I359" s="56">
        <v>29</v>
      </c>
      <c r="J359" s="56">
        <v>32</v>
      </c>
      <c r="K359" s="56">
        <v>1</v>
      </c>
      <c r="L359" s="56">
        <v>360744885.28</v>
      </c>
      <c r="M359" s="56">
        <v>2627233.74</v>
      </c>
      <c r="N359" s="56">
        <v>48237461.55999999</v>
      </c>
      <c r="O359" s="56">
        <v>116</v>
      </c>
      <c r="P359" s="56">
        <v>0</v>
      </c>
      <c r="Q359" s="56">
        <v>0</v>
      </c>
      <c r="R359" s="56">
        <v>0</v>
      </c>
      <c r="S359" s="56">
        <v>1</v>
      </c>
      <c r="T359" s="55" t="s">
        <v>1167</v>
      </c>
      <c r="U359" s="55" t="s">
        <v>1165</v>
      </c>
      <c r="V359" s="55" t="s">
        <v>1146</v>
      </c>
      <c r="W359" s="55" t="s">
        <v>1180</v>
      </c>
      <c r="X359" s="55" t="s">
        <v>1154</v>
      </c>
      <c r="Y359" s="55" t="s">
        <v>1155</v>
      </c>
      <c r="Z359" s="55" t="s">
        <v>1229</v>
      </c>
    </row>
    <row r="360" spans="1:26">
      <c r="A360" s="55" t="s">
        <v>904</v>
      </c>
      <c r="B360" s="55" t="s">
        <v>272</v>
      </c>
      <c r="C360" s="55" t="s">
        <v>1142</v>
      </c>
      <c r="D360" s="55" t="s">
        <v>1143</v>
      </c>
      <c r="E360" s="55" t="s">
        <v>1143</v>
      </c>
      <c r="F360" s="55" t="s">
        <v>73</v>
      </c>
      <c r="G360" s="56">
        <v>1</v>
      </c>
      <c r="H360" s="56">
        <v>1</v>
      </c>
      <c r="I360" s="56">
        <v>0</v>
      </c>
      <c r="J360" s="56">
        <v>51</v>
      </c>
      <c r="K360" s="56">
        <v>0</v>
      </c>
      <c r="L360" s="56">
        <v>4650649.79</v>
      </c>
      <c r="M360" s="56">
        <v>4091389.33</v>
      </c>
      <c r="N360" s="56">
        <v>4650649.79</v>
      </c>
      <c r="O360" s="56">
        <v>81</v>
      </c>
      <c r="P360" s="56">
        <v>0</v>
      </c>
      <c r="Q360" s="56">
        <v>0</v>
      </c>
      <c r="R360" s="56">
        <v>0</v>
      </c>
      <c r="S360" s="56">
        <v>0</v>
      </c>
      <c r="T360" s="55" t="s">
        <v>1157</v>
      </c>
      <c r="U360" s="55" t="s">
        <v>1145</v>
      </c>
      <c r="V360" s="55" t="s">
        <v>1153</v>
      </c>
      <c r="W360" s="55" t="s">
        <v>1147</v>
      </c>
      <c r="X360" s="55" t="s">
        <v>1154</v>
      </c>
      <c r="Y360" s="55" t="s">
        <v>1276</v>
      </c>
      <c r="Z360" s="55" t="s">
        <v>1252</v>
      </c>
    </row>
    <row r="361" spans="1:26">
      <c r="A361" s="55" t="s">
        <v>905</v>
      </c>
      <c r="B361" s="55" t="s">
        <v>272</v>
      </c>
      <c r="C361" s="55" t="s">
        <v>1187</v>
      </c>
      <c r="D361" s="55" t="s">
        <v>1188</v>
      </c>
      <c r="E361" s="55" t="s">
        <v>1188</v>
      </c>
      <c r="F361" s="55" t="s">
        <v>74</v>
      </c>
      <c r="G361" s="56">
        <v>2</v>
      </c>
      <c r="H361" s="56">
        <v>2</v>
      </c>
      <c r="I361" s="56">
        <v>36</v>
      </c>
      <c r="J361" s="56">
        <v>74</v>
      </c>
      <c r="K361" s="56">
        <v>8</v>
      </c>
      <c r="L361" s="56">
        <v>19925524.56</v>
      </c>
      <c r="M361" s="56">
        <v>5975143.87</v>
      </c>
      <c r="N361" s="56">
        <v>17228830.22</v>
      </c>
      <c r="O361" s="56">
        <v>83</v>
      </c>
      <c r="P361" s="56">
        <v>0</v>
      </c>
      <c r="Q361" s="56">
        <v>0</v>
      </c>
      <c r="R361" s="56">
        <v>0</v>
      </c>
      <c r="S361" s="56">
        <v>1</v>
      </c>
      <c r="T361" s="55" t="s">
        <v>1157</v>
      </c>
      <c r="U361" s="55" t="s">
        <v>1165</v>
      </c>
      <c r="V361" s="55" t="s">
        <v>1153</v>
      </c>
      <c r="W361" s="55" t="s">
        <v>1147</v>
      </c>
      <c r="X361" s="55" t="s">
        <v>1154</v>
      </c>
      <c r="Y361" s="55" t="s">
        <v>1281</v>
      </c>
      <c r="Z361" s="55" t="s">
        <v>1172</v>
      </c>
    </row>
    <row r="362" spans="1:26">
      <c r="A362" s="55" t="s">
        <v>906</v>
      </c>
      <c r="B362" s="55" t="s">
        <v>272</v>
      </c>
      <c r="C362" s="55" t="s">
        <v>1142</v>
      </c>
      <c r="D362" s="55" t="s">
        <v>1143</v>
      </c>
      <c r="E362" s="55" t="s">
        <v>1143</v>
      </c>
      <c r="F362" s="55" t="s">
        <v>73</v>
      </c>
      <c r="G362" s="56">
        <v>1</v>
      </c>
      <c r="H362" s="56">
        <v>1</v>
      </c>
      <c r="I362" s="56">
        <v>0</v>
      </c>
      <c r="J362" s="56">
        <v>33</v>
      </c>
      <c r="K362" s="56">
        <v>0</v>
      </c>
      <c r="L362" s="56">
        <v>58950703.96</v>
      </c>
      <c r="M362" s="56">
        <v>4861537.6</v>
      </c>
      <c r="N362" s="56">
        <v>56442228.12</v>
      </c>
      <c r="O362" s="56">
        <v>109</v>
      </c>
      <c r="P362" s="56">
        <v>0</v>
      </c>
      <c r="Q362" s="56">
        <v>0</v>
      </c>
      <c r="R362" s="56">
        <v>0</v>
      </c>
      <c r="S362" s="56">
        <v>0</v>
      </c>
      <c r="T362" s="55" t="s">
        <v>1173</v>
      </c>
      <c r="U362" s="55" t="s">
        <v>1145</v>
      </c>
      <c r="V362" s="55" t="s">
        <v>1153</v>
      </c>
      <c r="W362" s="55" t="s">
        <v>1147</v>
      </c>
      <c r="X362" s="55" t="s">
        <v>1154</v>
      </c>
      <c r="Y362" s="55" t="s">
        <v>1281</v>
      </c>
      <c r="Z362" s="55" t="s">
        <v>1150</v>
      </c>
    </row>
    <row r="363" spans="1:26">
      <c r="A363" s="55" t="s">
        <v>907</v>
      </c>
      <c r="B363" s="55" t="s">
        <v>546</v>
      </c>
      <c r="C363" s="55" t="s">
        <v>1151</v>
      </c>
      <c r="D363" s="55" t="s">
        <v>87</v>
      </c>
      <c r="E363" s="55" t="s">
        <v>87</v>
      </c>
      <c r="F363" s="55" t="s">
        <v>75</v>
      </c>
      <c r="G363" s="56">
        <v>5</v>
      </c>
      <c r="H363" s="56">
        <v>5</v>
      </c>
      <c r="I363" s="56">
        <v>268</v>
      </c>
      <c r="J363" s="56">
        <v>7</v>
      </c>
      <c r="K363" s="56">
        <v>0</v>
      </c>
      <c r="L363" s="56">
        <v>281610000</v>
      </c>
      <c r="M363" s="56">
        <v>1026304.45</v>
      </c>
      <c r="N363" s="56">
        <v>20526259.24</v>
      </c>
      <c r="O363" s="56">
        <v>105</v>
      </c>
      <c r="P363" s="56">
        <v>0</v>
      </c>
      <c r="Q363" s="56">
        <v>0</v>
      </c>
      <c r="R363" s="56">
        <v>1</v>
      </c>
      <c r="S363" s="56">
        <v>1</v>
      </c>
      <c r="T363" s="55" t="s">
        <v>1167</v>
      </c>
      <c r="U363" s="55" t="s">
        <v>1165</v>
      </c>
      <c r="V363" s="55" t="s">
        <v>1153</v>
      </c>
      <c r="W363" s="55" t="s">
        <v>1168</v>
      </c>
      <c r="X363" s="55" t="s">
        <v>1154</v>
      </c>
      <c r="Y363" s="55" t="s">
        <v>1316</v>
      </c>
      <c r="Z363" s="55" t="s">
        <v>1166</v>
      </c>
    </row>
    <row r="364" spans="1:26">
      <c r="A364" s="55" t="s">
        <v>908</v>
      </c>
      <c r="B364" s="55" t="s">
        <v>546</v>
      </c>
      <c r="C364" s="55" t="s">
        <v>1151</v>
      </c>
      <c r="D364" s="55" t="s">
        <v>87</v>
      </c>
      <c r="E364" s="55" t="s">
        <v>87</v>
      </c>
      <c r="F364" s="55" t="s">
        <v>75</v>
      </c>
      <c r="G364" s="56">
        <v>5</v>
      </c>
      <c r="H364" s="56">
        <v>5</v>
      </c>
      <c r="I364" s="56">
        <v>909</v>
      </c>
      <c r="J364" s="56">
        <v>122</v>
      </c>
      <c r="K364" s="56">
        <v>0</v>
      </c>
      <c r="L364" s="56">
        <v>0</v>
      </c>
      <c r="M364" s="56">
        <v>871631.99</v>
      </c>
      <c r="N364" s="56">
        <v>17958403.15</v>
      </c>
      <c r="O364" s="56">
        <v>85</v>
      </c>
      <c r="P364" s="56">
        <v>1</v>
      </c>
      <c r="Q364" s="56">
        <v>0</v>
      </c>
      <c r="R364" s="56">
        <v>1</v>
      </c>
      <c r="S364" s="56">
        <v>1</v>
      </c>
      <c r="T364" s="55" t="s">
        <v>1167</v>
      </c>
      <c r="U364" s="55" t="s">
        <v>1165</v>
      </c>
      <c r="V364" s="55" t="s">
        <v>1153</v>
      </c>
      <c r="W364" s="55" t="s">
        <v>1147</v>
      </c>
      <c r="X364" s="55" t="s">
        <v>1154</v>
      </c>
      <c r="Y364" s="55" t="s">
        <v>1281</v>
      </c>
      <c r="Z364" s="55" t="s">
        <v>1211</v>
      </c>
    </row>
    <row r="365" spans="1:26">
      <c r="A365" s="55" t="s">
        <v>909</v>
      </c>
      <c r="B365" s="55" t="s">
        <v>272</v>
      </c>
      <c r="C365" s="55" t="s">
        <v>1142</v>
      </c>
      <c r="D365" s="55" t="s">
        <v>1143</v>
      </c>
      <c r="E365" s="55" t="s">
        <v>1143</v>
      </c>
      <c r="F365" s="55" t="s">
        <v>73</v>
      </c>
      <c r="G365" s="56">
        <v>1</v>
      </c>
      <c r="H365" s="56">
        <v>1</v>
      </c>
      <c r="I365" s="56">
        <v>0</v>
      </c>
      <c r="J365" s="56">
        <v>2</v>
      </c>
      <c r="K365" s="56">
        <v>0</v>
      </c>
      <c r="L365" s="56">
        <v>0</v>
      </c>
      <c r="M365" s="56">
        <v>1957813.26</v>
      </c>
      <c r="N365" s="56">
        <v>32748178.51</v>
      </c>
      <c r="O365" s="56">
        <v>5</v>
      </c>
      <c r="P365" s="56">
        <v>1</v>
      </c>
      <c r="Q365" s="56">
        <v>0</v>
      </c>
      <c r="R365" s="56">
        <v>0</v>
      </c>
      <c r="S365" s="56">
        <v>0</v>
      </c>
      <c r="T365" s="55" t="s">
        <v>1157</v>
      </c>
      <c r="U365" s="55" t="s">
        <v>1165</v>
      </c>
      <c r="V365" s="55" t="s">
        <v>1153</v>
      </c>
      <c r="W365" s="55" t="s">
        <v>1147</v>
      </c>
      <c r="X365" s="55" t="s">
        <v>1258</v>
      </c>
      <c r="Y365" s="55" t="s">
        <v>1281</v>
      </c>
      <c r="Z365" s="55" t="s">
        <v>1217</v>
      </c>
    </row>
    <row r="366" spans="1:26">
      <c r="A366" s="55" t="s">
        <v>910</v>
      </c>
      <c r="B366" s="55" t="s">
        <v>272</v>
      </c>
      <c r="C366" s="55" t="s">
        <v>1142</v>
      </c>
      <c r="D366" s="55" t="s">
        <v>1143</v>
      </c>
      <c r="E366" s="55" t="s">
        <v>1143</v>
      </c>
      <c r="F366" s="55" t="s">
        <v>73</v>
      </c>
      <c r="G366" s="56">
        <v>1</v>
      </c>
      <c r="H366" s="56">
        <v>1</v>
      </c>
      <c r="I366" s="56">
        <v>0</v>
      </c>
      <c r="J366" s="56">
        <v>16</v>
      </c>
      <c r="K366" s="56">
        <v>0</v>
      </c>
      <c r="L366" s="56">
        <v>0</v>
      </c>
      <c r="M366" s="56">
        <v>6715927.63</v>
      </c>
      <c r="N366" s="56">
        <v>241634389.7</v>
      </c>
      <c r="O366" s="56">
        <v>149</v>
      </c>
      <c r="P366" s="56">
        <v>1</v>
      </c>
      <c r="Q366" s="56">
        <v>0</v>
      </c>
      <c r="R366" s="56">
        <v>0</v>
      </c>
      <c r="S366" s="56">
        <v>0</v>
      </c>
      <c r="T366" s="55" t="s">
        <v>1167</v>
      </c>
      <c r="U366" s="55" t="s">
        <v>1145</v>
      </c>
      <c r="V366" s="55" t="s">
        <v>1146</v>
      </c>
      <c r="W366" s="55" t="s">
        <v>1147</v>
      </c>
      <c r="X366" s="55" t="s">
        <v>1154</v>
      </c>
      <c r="Y366" s="55" t="s">
        <v>1305</v>
      </c>
      <c r="Z366" s="55" t="s">
        <v>1238</v>
      </c>
    </row>
    <row r="367" spans="1:26">
      <c r="A367" s="55" t="s">
        <v>911</v>
      </c>
      <c r="B367" s="55" t="s">
        <v>272</v>
      </c>
      <c r="C367" s="55" t="s">
        <v>1142</v>
      </c>
      <c r="D367" s="55" t="s">
        <v>1143</v>
      </c>
      <c r="E367" s="55" t="s">
        <v>1143</v>
      </c>
      <c r="F367" s="55" t="s">
        <v>73</v>
      </c>
      <c r="G367" s="56">
        <v>1</v>
      </c>
      <c r="H367" s="56">
        <v>1</v>
      </c>
      <c r="I367" s="56">
        <v>0</v>
      </c>
      <c r="J367" s="56">
        <v>37</v>
      </c>
      <c r="K367" s="56">
        <v>0</v>
      </c>
      <c r="L367" s="56">
        <v>2643396</v>
      </c>
      <c r="M367" s="56">
        <v>1210279.31</v>
      </c>
      <c r="N367" s="56">
        <v>2643396</v>
      </c>
      <c r="O367" s="56">
        <v>63</v>
      </c>
      <c r="P367" s="56">
        <v>0</v>
      </c>
      <c r="Q367" s="56">
        <v>0</v>
      </c>
      <c r="R367" s="56">
        <v>0</v>
      </c>
      <c r="S367" s="56">
        <v>0</v>
      </c>
      <c r="T367" s="55" t="s">
        <v>1152</v>
      </c>
      <c r="U367" s="55" t="s">
        <v>1145</v>
      </c>
      <c r="V367" s="55" t="s">
        <v>1146</v>
      </c>
      <c r="W367" s="55" t="s">
        <v>1181</v>
      </c>
      <c r="X367" s="55" t="s">
        <v>1154</v>
      </c>
      <c r="Y367" s="55" t="s">
        <v>1256</v>
      </c>
      <c r="Z367" s="55" t="s">
        <v>1220</v>
      </c>
    </row>
    <row r="368" spans="1:26">
      <c r="A368" s="55" t="s">
        <v>912</v>
      </c>
      <c r="B368" s="55" t="s">
        <v>546</v>
      </c>
      <c r="C368" s="55" t="s">
        <v>1151</v>
      </c>
      <c r="D368" s="55" t="s">
        <v>87</v>
      </c>
      <c r="E368" s="55" t="s">
        <v>87</v>
      </c>
      <c r="F368" s="55" t="s">
        <v>75</v>
      </c>
      <c r="G368" s="56">
        <v>5</v>
      </c>
      <c r="H368" s="56">
        <v>5</v>
      </c>
      <c r="I368" s="56">
        <v>179</v>
      </c>
      <c r="J368" s="56">
        <v>27</v>
      </c>
      <c r="K368" s="56">
        <v>0</v>
      </c>
      <c r="L368" s="56">
        <v>0</v>
      </c>
      <c r="M368" s="56">
        <v>0</v>
      </c>
      <c r="N368" s="56">
        <v>2133259.42</v>
      </c>
      <c r="O368" s="56">
        <v>123</v>
      </c>
      <c r="P368" s="56">
        <v>1</v>
      </c>
      <c r="Q368" s="56">
        <v>0</v>
      </c>
      <c r="R368" s="56">
        <v>1</v>
      </c>
      <c r="S368" s="56">
        <v>1</v>
      </c>
      <c r="T368" s="55" t="s">
        <v>1144</v>
      </c>
      <c r="U368" s="55" t="s">
        <v>1145</v>
      </c>
      <c r="V368" s="55" t="s">
        <v>1146</v>
      </c>
      <c r="W368" s="55" t="s">
        <v>1147</v>
      </c>
      <c r="X368" s="55" t="s">
        <v>1317</v>
      </c>
      <c r="Y368" s="55" t="s">
        <v>1318</v>
      </c>
      <c r="Z368" s="55" t="s">
        <v>1257</v>
      </c>
    </row>
    <row r="369" spans="1:26">
      <c r="A369" s="55" t="s">
        <v>913</v>
      </c>
      <c r="B369" s="55" t="s">
        <v>272</v>
      </c>
      <c r="C369" s="55" t="s">
        <v>1142</v>
      </c>
      <c r="D369" s="55" t="s">
        <v>1143</v>
      </c>
      <c r="E369" s="55" t="s">
        <v>1143</v>
      </c>
      <c r="F369" s="55" t="s">
        <v>73</v>
      </c>
      <c r="G369" s="56">
        <v>1</v>
      </c>
      <c r="H369" s="56">
        <v>1</v>
      </c>
      <c r="I369" s="56">
        <v>0</v>
      </c>
      <c r="J369" s="56">
        <v>24</v>
      </c>
      <c r="K369" s="56">
        <v>0</v>
      </c>
      <c r="L369" s="56">
        <v>0</v>
      </c>
      <c r="M369" s="56">
        <v>40678816.9</v>
      </c>
      <c r="N369" s="56">
        <v>145905000</v>
      </c>
      <c r="O369" s="56">
        <v>39</v>
      </c>
      <c r="P369" s="56">
        <v>1</v>
      </c>
      <c r="Q369" s="56">
        <v>0</v>
      </c>
      <c r="R369" s="56">
        <v>0</v>
      </c>
      <c r="S369" s="56">
        <v>0</v>
      </c>
      <c r="T369" s="55" t="s">
        <v>1152</v>
      </c>
      <c r="U369" s="55" t="s">
        <v>1145</v>
      </c>
      <c r="V369" s="55" t="s">
        <v>1146</v>
      </c>
      <c r="W369" s="55" t="s">
        <v>1180</v>
      </c>
      <c r="X369" s="55" t="s">
        <v>1159</v>
      </c>
      <c r="Y369" s="55" t="s">
        <v>1259</v>
      </c>
      <c r="Z369" s="55" t="s">
        <v>1230</v>
      </c>
    </row>
    <row r="370" spans="1:26">
      <c r="A370" s="55" t="s">
        <v>914</v>
      </c>
      <c r="B370" s="55" t="s">
        <v>272</v>
      </c>
      <c r="C370" s="55" t="s">
        <v>1142</v>
      </c>
      <c r="D370" s="55" t="s">
        <v>1143</v>
      </c>
      <c r="E370" s="55" t="s">
        <v>1143</v>
      </c>
      <c r="F370" s="55" t="s">
        <v>73</v>
      </c>
      <c r="G370" s="56">
        <v>1</v>
      </c>
      <c r="H370" s="56">
        <v>1</v>
      </c>
      <c r="I370" s="56">
        <v>0</v>
      </c>
      <c r="J370" s="56">
        <v>2</v>
      </c>
      <c r="K370" s="56">
        <v>0</v>
      </c>
      <c r="L370" s="56">
        <v>95360000</v>
      </c>
      <c r="M370" s="56">
        <v>201068.14</v>
      </c>
      <c r="N370" s="56">
        <v>4021362.8</v>
      </c>
      <c r="O370" s="56">
        <v>24</v>
      </c>
      <c r="P370" s="56">
        <v>0</v>
      </c>
      <c r="Q370" s="56">
        <v>0</v>
      </c>
      <c r="R370" s="56">
        <v>0</v>
      </c>
      <c r="S370" s="56">
        <v>0</v>
      </c>
      <c r="T370" s="55" t="s">
        <v>1167</v>
      </c>
      <c r="U370" s="55" t="s">
        <v>1165</v>
      </c>
      <c r="V370" s="55" t="s">
        <v>1153</v>
      </c>
      <c r="W370" s="55" t="s">
        <v>1147</v>
      </c>
      <c r="X370" s="55" t="s">
        <v>1159</v>
      </c>
      <c r="Y370" s="55" t="s">
        <v>1319</v>
      </c>
      <c r="Z370" s="55" t="s">
        <v>1226</v>
      </c>
    </row>
    <row r="371" spans="1:26">
      <c r="A371" s="55" t="s">
        <v>915</v>
      </c>
      <c r="B371" s="55" t="s">
        <v>272</v>
      </c>
      <c r="C371" s="55" t="s">
        <v>1142</v>
      </c>
      <c r="D371" s="55" t="s">
        <v>1143</v>
      </c>
      <c r="E371" s="55" t="s">
        <v>1143</v>
      </c>
      <c r="F371" s="55" t="s">
        <v>73</v>
      </c>
      <c r="G371" s="56">
        <v>1</v>
      </c>
      <c r="H371" s="56">
        <v>1</v>
      </c>
      <c r="I371" s="56">
        <v>0</v>
      </c>
      <c r="J371" s="56">
        <v>50</v>
      </c>
      <c r="K371" s="56">
        <v>0</v>
      </c>
      <c r="L371" s="56">
        <v>22350000</v>
      </c>
      <c r="M371" s="56">
        <v>242125</v>
      </c>
      <c r="N371" s="56">
        <v>4842500</v>
      </c>
      <c r="O371" s="56">
        <v>62</v>
      </c>
      <c r="P371" s="56">
        <v>0</v>
      </c>
      <c r="Q371" s="56">
        <v>0</v>
      </c>
      <c r="R371" s="56">
        <v>0</v>
      </c>
      <c r="S371" s="56">
        <v>0</v>
      </c>
      <c r="T371" s="55" t="s">
        <v>1157</v>
      </c>
      <c r="U371" s="55" t="s">
        <v>1145</v>
      </c>
      <c r="V371" s="55" t="s">
        <v>1153</v>
      </c>
      <c r="W371" s="55" t="s">
        <v>1180</v>
      </c>
      <c r="X371" s="55" t="s">
        <v>1154</v>
      </c>
      <c r="Y371" s="55" t="s">
        <v>1320</v>
      </c>
      <c r="Z371" s="55" t="s">
        <v>1196</v>
      </c>
    </row>
    <row r="372" spans="1:26">
      <c r="A372" s="55" t="s">
        <v>916</v>
      </c>
      <c r="B372" s="55" t="s">
        <v>272</v>
      </c>
      <c r="C372" s="55" t="s">
        <v>1142</v>
      </c>
      <c r="D372" s="55" t="s">
        <v>1143</v>
      </c>
      <c r="E372" s="55" t="s">
        <v>1143</v>
      </c>
      <c r="F372" s="55" t="s">
        <v>73</v>
      </c>
      <c r="G372" s="56">
        <v>1</v>
      </c>
      <c r="H372" s="56">
        <v>1</v>
      </c>
      <c r="I372" s="56">
        <v>0</v>
      </c>
      <c r="J372" s="56">
        <v>4</v>
      </c>
      <c r="K372" s="56">
        <v>0</v>
      </c>
      <c r="L372" s="56">
        <v>571368.1899999999</v>
      </c>
      <c r="M372" s="56">
        <v>402124.19</v>
      </c>
      <c r="N372" s="56">
        <v>571368.1899999999</v>
      </c>
      <c r="O372" s="56">
        <v>14</v>
      </c>
      <c r="P372" s="56">
        <v>0</v>
      </c>
      <c r="Q372" s="56">
        <v>0</v>
      </c>
      <c r="R372" s="56">
        <v>0</v>
      </c>
      <c r="S372" s="56">
        <v>0</v>
      </c>
      <c r="T372" s="55" t="s">
        <v>1157</v>
      </c>
      <c r="U372" s="55" t="s">
        <v>1145</v>
      </c>
      <c r="V372" s="55" t="s">
        <v>1153</v>
      </c>
      <c r="W372" s="55" t="s">
        <v>1180</v>
      </c>
      <c r="X372" s="55" t="s">
        <v>1321</v>
      </c>
      <c r="Y372" s="55" t="s">
        <v>1322</v>
      </c>
      <c r="Z372" s="55" t="s">
        <v>1170</v>
      </c>
    </row>
    <row r="373" spans="1:26">
      <c r="A373" s="55" t="s">
        <v>917</v>
      </c>
      <c r="B373" s="55" t="s">
        <v>272</v>
      </c>
      <c r="C373" s="55" t="s">
        <v>1142</v>
      </c>
      <c r="D373" s="55" t="s">
        <v>1143</v>
      </c>
      <c r="E373" s="55" t="s">
        <v>1143</v>
      </c>
      <c r="F373" s="55" t="s">
        <v>73</v>
      </c>
      <c r="G373" s="56">
        <v>1</v>
      </c>
      <c r="H373" s="56">
        <v>1</v>
      </c>
      <c r="I373" s="56">
        <v>0</v>
      </c>
      <c r="J373" s="56">
        <v>5</v>
      </c>
      <c r="K373" s="56">
        <v>0</v>
      </c>
      <c r="L373" s="56">
        <v>0</v>
      </c>
      <c r="M373" s="56">
        <v>223500</v>
      </c>
      <c r="N373" s="56">
        <v>22700109.68</v>
      </c>
      <c r="O373" s="56">
        <v>60</v>
      </c>
      <c r="P373" s="56">
        <v>1</v>
      </c>
      <c r="Q373" s="56">
        <v>0</v>
      </c>
      <c r="R373" s="56">
        <v>0</v>
      </c>
      <c r="S373" s="56">
        <v>0</v>
      </c>
      <c r="T373" s="55" t="s">
        <v>1157</v>
      </c>
      <c r="U373" s="55" t="s">
        <v>1145</v>
      </c>
      <c r="V373" s="55" t="s">
        <v>1146</v>
      </c>
      <c r="W373" s="55" t="s">
        <v>1147</v>
      </c>
      <c r="X373" s="55" t="s">
        <v>1323</v>
      </c>
      <c r="Y373" s="55" t="s">
        <v>1322</v>
      </c>
      <c r="Z373" s="55" t="s">
        <v>1164</v>
      </c>
    </row>
    <row r="374" spans="1:26">
      <c r="A374" s="55" t="s">
        <v>918</v>
      </c>
      <c r="B374" s="55" t="s">
        <v>272</v>
      </c>
      <c r="C374" s="55" t="s">
        <v>1142</v>
      </c>
      <c r="D374" s="55" t="s">
        <v>1143</v>
      </c>
      <c r="E374" s="55" t="s">
        <v>1143</v>
      </c>
      <c r="F374" s="55" t="s">
        <v>73</v>
      </c>
      <c r="G374" s="56">
        <v>1</v>
      </c>
      <c r="H374" s="56">
        <v>1</v>
      </c>
      <c r="I374" s="56">
        <v>0</v>
      </c>
      <c r="J374" s="56">
        <v>2</v>
      </c>
      <c r="K374" s="56">
        <v>0</v>
      </c>
      <c r="L374" s="56">
        <v>0</v>
      </c>
      <c r="M374" s="56">
        <v>1877354.91</v>
      </c>
      <c r="N374" s="56">
        <v>29680763.76</v>
      </c>
      <c r="O374" s="56">
        <v>31</v>
      </c>
      <c r="P374" s="56">
        <v>1</v>
      </c>
      <c r="Q374" s="56">
        <v>0</v>
      </c>
      <c r="R374" s="56">
        <v>0</v>
      </c>
      <c r="S374" s="56">
        <v>0</v>
      </c>
      <c r="T374" s="55" t="s">
        <v>1162</v>
      </c>
      <c r="U374" s="55" t="s">
        <v>1145</v>
      </c>
      <c r="V374" s="55" t="s">
        <v>1153</v>
      </c>
      <c r="W374" s="55" t="s">
        <v>1181</v>
      </c>
      <c r="X374" s="55" t="s">
        <v>1201</v>
      </c>
      <c r="Y374" s="55" t="s">
        <v>1322</v>
      </c>
      <c r="Z374" s="55" t="s">
        <v>1185</v>
      </c>
    </row>
    <row r="375" spans="1:26">
      <c r="A375" s="55" t="s">
        <v>919</v>
      </c>
      <c r="B375" s="55" t="s">
        <v>272</v>
      </c>
      <c r="C375" s="55" t="s">
        <v>1236</v>
      </c>
      <c r="D375" s="55" t="s">
        <v>86</v>
      </c>
      <c r="E375" s="55" t="s">
        <v>86</v>
      </c>
      <c r="F375" s="55" t="s">
        <v>75</v>
      </c>
      <c r="G375" s="56">
        <v>4</v>
      </c>
      <c r="H375" s="56">
        <v>4</v>
      </c>
      <c r="I375" s="56">
        <v>125</v>
      </c>
      <c r="J375" s="56">
        <v>34</v>
      </c>
      <c r="K375" s="56">
        <v>5</v>
      </c>
      <c r="L375" s="56">
        <v>340797244.8</v>
      </c>
      <c r="M375" s="56">
        <v>20726105.91</v>
      </c>
      <c r="N375" s="56">
        <v>421297775.77</v>
      </c>
      <c r="O375" s="56">
        <v>59</v>
      </c>
      <c r="P375" s="56">
        <v>0</v>
      </c>
      <c r="Q375" s="56">
        <v>1</v>
      </c>
      <c r="R375" s="56">
        <v>1</v>
      </c>
      <c r="S375" s="56">
        <v>1</v>
      </c>
      <c r="T375" s="55" t="s">
        <v>1167</v>
      </c>
      <c r="U375" s="55" t="s">
        <v>1145</v>
      </c>
      <c r="V375" s="55" t="s">
        <v>1146</v>
      </c>
      <c r="W375" s="55" t="s">
        <v>1168</v>
      </c>
      <c r="X375" s="55" t="s">
        <v>1323</v>
      </c>
      <c r="Y375" s="55" t="s">
        <v>1320</v>
      </c>
      <c r="Z375" s="55" t="s">
        <v>1196</v>
      </c>
    </row>
    <row r="376" spans="1:26">
      <c r="A376" s="55" t="s">
        <v>920</v>
      </c>
      <c r="B376" s="55" t="s">
        <v>272</v>
      </c>
      <c r="C376" s="55" t="s">
        <v>1142</v>
      </c>
      <c r="D376" s="55" t="s">
        <v>1143</v>
      </c>
      <c r="E376" s="55" t="s">
        <v>1143</v>
      </c>
      <c r="F376" s="55" t="s">
        <v>73</v>
      </c>
      <c r="G376" s="56">
        <v>1</v>
      </c>
      <c r="H376" s="56">
        <v>1</v>
      </c>
      <c r="I376" s="56">
        <v>0</v>
      </c>
      <c r="J376" s="56">
        <v>45</v>
      </c>
      <c r="K376" s="56">
        <v>0</v>
      </c>
      <c r="L376" s="56">
        <v>705267</v>
      </c>
      <c r="M376" s="56">
        <v>895513.84</v>
      </c>
      <c r="N376" s="56">
        <v>705267</v>
      </c>
      <c r="O376" s="56">
        <v>31</v>
      </c>
      <c r="P376" s="56">
        <v>0</v>
      </c>
      <c r="Q376" s="56">
        <v>0</v>
      </c>
      <c r="R376" s="56">
        <v>0</v>
      </c>
      <c r="S376" s="56">
        <v>0</v>
      </c>
      <c r="T376" s="55" t="s">
        <v>1173</v>
      </c>
      <c r="U376" s="55" t="s">
        <v>1165</v>
      </c>
      <c r="V376" s="55" t="s">
        <v>1232</v>
      </c>
      <c r="W376" s="55" t="s">
        <v>1272</v>
      </c>
      <c r="X376" s="55" t="s">
        <v>1154</v>
      </c>
      <c r="Y376" s="55" t="s">
        <v>1322</v>
      </c>
      <c r="Z376" s="55" t="s">
        <v>1268</v>
      </c>
    </row>
    <row r="377" spans="1:26">
      <c r="A377" s="55" t="s">
        <v>921</v>
      </c>
      <c r="B377" s="55" t="s">
        <v>272</v>
      </c>
      <c r="C377" s="55" t="s">
        <v>1142</v>
      </c>
      <c r="D377" s="55" t="s">
        <v>1143</v>
      </c>
      <c r="E377" s="55" t="s">
        <v>1143</v>
      </c>
      <c r="F377" s="55" t="s">
        <v>73</v>
      </c>
      <c r="G377" s="56">
        <v>1</v>
      </c>
      <c r="H377" s="56">
        <v>1</v>
      </c>
      <c r="I377" s="56">
        <v>0</v>
      </c>
      <c r="J377" s="56">
        <v>2</v>
      </c>
      <c r="K377" s="56">
        <v>0</v>
      </c>
      <c r="L377" s="56">
        <v>373313540</v>
      </c>
      <c r="M377" s="56">
        <v>0</v>
      </c>
      <c r="N377" s="56">
        <v>0</v>
      </c>
      <c r="O377" s="56">
        <v>165</v>
      </c>
      <c r="P377" s="56">
        <v>0</v>
      </c>
      <c r="Q377" s="56">
        <v>0</v>
      </c>
      <c r="R377" s="56">
        <v>0</v>
      </c>
      <c r="S377" s="56">
        <v>0</v>
      </c>
      <c r="T377" s="55" t="s">
        <v>1144</v>
      </c>
      <c r="U377" s="55" t="s">
        <v>1145</v>
      </c>
      <c r="V377" s="55" t="s">
        <v>1146</v>
      </c>
      <c r="W377" s="55" t="s">
        <v>1147</v>
      </c>
      <c r="X377" s="55" t="s">
        <v>1154</v>
      </c>
      <c r="Y377" s="55" t="s">
        <v>1324</v>
      </c>
      <c r="Z377" s="55" t="s">
        <v>1250</v>
      </c>
    </row>
    <row r="378" spans="1:26">
      <c r="A378" s="55" t="s">
        <v>922</v>
      </c>
      <c r="B378" s="55" t="s">
        <v>272</v>
      </c>
      <c r="C378" s="55" t="s">
        <v>1142</v>
      </c>
      <c r="D378" s="55" t="s">
        <v>1143</v>
      </c>
      <c r="E378" s="55" t="s">
        <v>1143</v>
      </c>
      <c r="F378" s="55" t="s">
        <v>73</v>
      </c>
      <c r="G378" s="56">
        <v>1</v>
      </c>
      <c r="H378" s="56">
        <v>1</v>
      </c>
      <c r="I378" s="56">
        <v>0</v>
      </c>
      <c r="J378" s="56">
        <v>9</v>
      </c>
      <c r="K378" s="56">
        <v>0</v>
      </c>
      <c r="L378" s="56">
        <v>113240000</v>
      </c>
      <c r="M378" s="56">
        <v>892497.46</v>
      </c>
      <c r="N378" s="56">
        <v>17849949.27</v>
      </c>
      <c r="O378" s="56">
        <v>55</v>
      </c>
      <c r="P378" s="56">
        <v>0</v>
      </c>
      <c r="Q378" s="56">
        <v>0</v>
      </c>
      <c r="R378" s="56">
        <v>0</v>
      </c>
      <c r="S378" s="56">
        <v>0</v>
      </c>
      <c r="T378" s="55" t="s">
        <v>1167</v>
      </c>
      <c r="U378" s="55" t="s">
        <v>1145</v>
      </c>
      <c r="V378" s="55" t="s">
        <v>1146</v>
      </c>
      <c r="W378" s="55" t="s">
        <v>1180</v>
      </c>
      <c r="X378" s="55" t="s">
        <v>1154</v>
      </c>
      <c r="Y378" s="55" t="s">
        <v>1325</v>
      </c>
      <c r="Z378" s="55" t="s">
        <v>1211</v>
      </c>
    </row>
    <row r="379" spans="1:26">
      <c r="A379" s="55" t="s">
        <v>923</v>
      </c>
      <c r="B379" s="55" t="s">
        <v>272</v>
      </c>
      <c r="C379" s="55" t="s">
        <v>1187</v>
      </c>
      <c r="D379" s="55" t="s">
        <v>1143</v>
      </c>
      <c r="E379" s="55" t="s">
        <v>1143</v>
      </c>
      <c r="F379" s="55" t="s">
        <v>73</v>
      </c>
      <c r="G379" s="56">
        <v>1</v>
      </c>
      <c r="H379" s="56">
        <v>1</v>
      </c>
      <c r="I379" s="56">
        <v>8</v>
      </c>
      <c r="J379" s="56">
        <v>15</v>
      </c>
      <c r="K379" s="56">
        <v>0</v>
      </c>
      <c r="L379" s="56">
        <v>0</v>
      </c>
      <c r="M379" s="56">
        <v>156940445.48</v>
      </c>
      <c r="N379" s="56">
        <v>1138279000</v>
      </c>
      <c r="O379" s="56">
        <v>103</v>
      </c>
      <c r="P379" s="56">
        <v>1</v>
      </c>
      <c r="Q379" s="56">
        <v>0</v>
      </c>
      <c r="R379" s="56">
        <v>0</v>
      </c>
      <c r="S379" s="56">
        <v>1</v>
      </c>
      <c r="T379" s="55" t="s">
        <v>1173</v>
      </c>
      <c r="U379" s="55" t="s">
        <v>1145</v>
      </c>
      <c r="V379" s="55" t="s">
        <v>1146</v>
      </c>
      <c r="W379" s="55" t="s">
        <v>1147</v>
      </c>
      <c r="X379" s="55" t="s">
        <v>1154</v>
      </c>
      <c r="Y379" s="55" t="s">
        <v>1326</v>
      </c>
      <c r="Z379" s="55" t="s">
        <v>1166</v>
      </c>
    </row>
    <row r="380" spans="1:26">
      <c r="A380" s="55" t="s">
        <v>924</v>
      </c>
      <c r="B380" s="55" t="s">
        <v>272</v>
      </c>
      <c r="C380" s="55" t="s">
        <v>1142</v>
      </c>
      <c r="D380" s="55" t="s">
        <v>1143</v>
      </c>
      <c r="E380" s="55" t="s">
        <v>1143</v>
      </c>
      <c r="F380" s="55" t="s">
        <v>73</v>
      </c>
      <c r="G380" s="56">
        <v>1</v>
      </c>
      <c r="H380" s="56">
        <v>1</v>
      </c>
      <c r="I380" s="56">
        <v>0</v>
      </c>
      <c r="J380" s="56">
        <v>25</v>
      </c>
      <c r="K380" s="56">
        <v>0</v>
      </c>
      <c r="L380" s="56">
        <v>2166325.46</v>
      </c>
      <c r="M380" s="56">
        <v>1195928.14</v>
      </c>
      <c r="N380" s="56">
        <v>2166325.46</v>
      </c>
      <c r="O380" s="56">
        <v>16</v>
      </c>
      <c r="P380" s="56">
        <v>0</v>
      </c>
      <c r="Q380" s="56">
        <v>0</v>
      </c>
      <c r="R380" s="56">
        <v>0</v>
      </c>
      <c r="S380" s="56">
        <v>0</v>
      </c>
      <c r="T380" s="55" t="s">
        <v>1157</v>
      </c>
      <c r="U380" s="55" t="s">
        <v>1165</v>
      </c>
      <c r="V380" s="55" t="s">
        <v>1153</v>
      </c>
      <c r="W380" s="55" t="s">
        <v>1180</v>
      </c>
      <c r="X380" s="55" t="s">
        <v>1218</v>
      </c>
      <c r="Y380" s="55" t="s">
        <v>1327</v>
      </c>
      <c r="Z380" s="55" t="s">
        <v>1182</v>
      </c>
    </row>
    <row r="381" spans="1:26">
      <c r="A381" s="55" t="s">
        <v>925</v>
      </c>
      <c r="B381" s="55" t="s">
        <v>272</v>
      </c>
      <c r="C381" s="55" t="s">
        <v>1142</v>
      </c>
      <c r="D381" s="55" t="s">
        <v>1143</v>
      </c>
      <c r="E381" s="55" t="s">
        <v>1143</v>
      </c>
      <c r="F381" s="55" t="s">
        <v>73</v>
      </c>
      <c r="G381" s="56">
        <v>1</v>
      </c>
      <c r="H381" s="56">
        <v>1</v>
      </c>
      <c r="I381" s="56">
        <v>0</v>
      </c>
      <c r="J381" s="56">
        <v>2</v>
      </c>
      <c r="K381" s="56">
        <v>0</v>
      </c>
      <c r="L381" s="56">
        <v>310148181.1</v>
      </c>
      <c r="M381" s="56">
        <v>5773351.45</v>
      </c>
      <c r="N381" s="56">
        <v>310148181.1</v>
      </c>
      <c r="O381" s="56">
        <v>46</v>
      </c>
      <c r="P381" s="56">
        <v>0</v>
      </c>
      <c r="Q381" s="56">
        <v>0</v>
      </c>
      <c r="R381" s="56">
        <v>0</v>
      </c>
      <c r="S381" s="56">
        <v>0</v>
      </c>
      <c r="T381" s="55" t="s">
        <v>1157</v>
      </c>
      <c r="U381" s="55" t="s">
        <v>1145</v>
      </c>
      <c r="V381" s="55" t="s">
        <v>1146</v>
      </c>
      <c r="W381" s="55" t="s">
        <v>1147</v>
      </c>
      <c r="X381" s="55" t="s">
        <v>1163</v>
      </c>
      <c r="Y381" s="55" t="s">
        <v>1328</v>
      </c>
      <c r="Z381" s="55" t="s">
        <v>1182</v>
      </c>
    </row>
    <row r="382" spans="1:26">
      <c r="A382" s="55" t="s">
        <v>926</v>
      </c>
      <c r="B382" s="55" t="s">
        <v>272</v>
      </c>
      <c r="C382" s="55" t="s">
        <v>1187</v>
      </c>
      <c r="D382" s="55" t="s">
        <v>1188</v>
      </c>
      <c r="E382" s="55" t="s">
        <v>1188</v>
      </c>
      <c r="F382" s="55" t="s">
        <v>74</v>
      </c>
      <c r="G382" s="56">
        <v>2</v>
      </c>
      <c r="H382" s="56">
        <v>2</v>
      </c>
      <c r="I382" s="56">
        <v>28</v>
      </c>
      <c r="J382" s="56">
        <v>75</v>
      </c>
      <c r="K382" s="56">
        <v>4</v>
      </c>
      <c r="L382" s="56">
        <v>51045031.78</v>
      </c>
      <c r="M382" s="56">
        <v>10131256.97</v>
      </c>
      <c r="N382" s="56">
        <v>51102263.62</v>
      </c>
      <c r="O382" s="56">
        <v>90</v>
      </c>
      <c r="P382" s="56">
        <v>0</v>
      </c>
      <c r="Q382" s="56">
        <v>0</v>
      </c>
      <c r="R382" s="56">
        <v>0</v>
      </c>
      <c r="S382" s="56">
        <v>1</v>
      </c>
      <c r="T382" s="55" t="s">
        <v>1167</v>
      </c>
      <c r="U382" s="55" t="s">
        <v>1145</v>
      </c>
      <c r="V382" s="55" t="s">
        <v>1153</v>
      </c>
      <c r="W382" s="55" t="s">
        <v>1181</v>
      </c>
      <c r="X382" s="55" t="s">
        <v>1154</v>
      </c>
      <c r="Y382" s="55" t="s">
        <v>1329</v>
      </c>
      <c r="Z382" s="55" t="s">
        <v>1330</v>
      </c>
    </row>
    <row r="383" spans="1:26">
      <c r="A383" s="55" t="s">
        <v>927</v>
      </c>
      <c r="B383" s="55" t="s">
        <v>272</v>
      </c>
      <c r="C383" s="55" t="s">
        <v>1142</v>
      </c>
      <c r="D383" s="55" t="s">
        <v>1143</v>
      </c>
      <c r="E383" s="55" t="s">
        <v>1143</v>
      </c>
      <c r="F383" s="55" t="s">
        <v>73</v>
      </c>
      <c r="G383" s="56">
        <v>1</v>
      </c>
      <c r="H383" s="56">
        <v>1</v>
      </c>
      <c r="I383" s="56">
        <v>0</v>
      </c>
      <c r="J383" s="56">
        <v>1</v>
      </c>
      <c r="K383" s="56">
        <v>0</v>
      </c>
      <c r="L383" s="56">
        <v>7450000</v>
      </c>
      <c r="M383" s="56">
        <v>164513.16</v>
      </c>
      <c r="N383" s="56">
        <v>3290263.2</v>
      </c>
      <c r="O383" s="56">
        <v>91</v>
      </c>
      <c r="P383" s="56">
        <v>0</v>
      </c>
      <c r="Q383" s="56">
        <v>0</v>
      </c>
      <c r="R383" s="56">
        <v>0</v>
      </c>
      <c r="S383" s="56">
        <v>0</v>
      </c>
      <c r="T383" s="55" t="s">
        <v>1167</v>
      </c>
      <c r="U383" s="55" t="s">
        <v>1145</v>
      </c>
      <c r="V383" s="55" t="s">
        <v>1153</v>
      </c>
      <c r="W383" s="55" t="s">
        <v>1180</v>
      </c>
      <c r="X383" s="55" t="s">
        <v>1154</v>
      </c>
      <c r="Y383" s="55" t="s">
        <v>1206</v>
      </c>
      <c r="Z383" s="55" t="s">
        <v>1166</v>
      </c>
    </row>
    <row r="384" spans="1:26">
      <c r="A384" s="55" t="s">
        <v>928</v>
      </c>
      <c r="B384" s="55" t="s">
        <v>272</v>
      </c>
      <c r="C384" s="55" t="s">
        <v>1142</v>
      </c>
      <c r="D384" s="55" t="s">
        <v>1143</v>
      </c>
      <c r="E384" s="55" t="s">
        <v>1143</v>
      </c>
      <c r="F384" s="55" t="s">
        <v>73</v>
      </c>
      <c r="G384" s="56">
        <v>1</v>
      </c>
      <c r="H384" s="56">
        <v>1</v>
      </c>
      <c r="I384" s="56">
        <v>0</v>
      </c>
      <c r="J384" s="56">
        <v>4</v>
      </c>
      <c r="K384" s="56">
        <v>0</v>
      </c>
      <c r="L384" s="56">
        <v>238400000</v>
      </c>
      <c r="M384" s="56">
        <v>1250022.42</v>
      </c>
      <c r="N384" s="56">
        <v>25000448.34</v>
      </c>
      <c r="O384" s="56">
        <v>81</v>
      </c>
      <c r="P384" s="56">
        <v>0</v>
      </c>
      <c r="Q384" s="56">
        <v>0</v>
      </c>
      <c r="R384" s="56">
        <v>0</v>
      </c>
      <c r="S384" s="56">
        <v>0</v>
      </c>
      <c r="T384" s="55" t="s">
        <v>1167</v>
      </c>
      <c r="U384" s="55" t="s">
        <v>1165</v>
      </c>
      <c r="V384" s="55" t="s">
        <v>1153</v>
      </c>
      <c r="W384" s="55" t="s">
        <v>1181</v>
      </c>
      <c r="X384" s="55" t="s">
        <v>1163</v>
      </c>
      <c r="Y384" s="55" t="s">
        <v>1329</v>
      </c>
      <c r="Z384" s="55" t="s">
        <v>1182</v>
      </c>
    </row>
    <row r="385" spans="1:26">
      <c r="A385" s="55" t="s">
        <v>929</v>
      </c>
      <c r="B385" s="55" t="s">
        <v>546</v>
      </c>
      <c r="C385" s="55" t="s">
        <v>1151</v>
      </c>
      <c r="D385" s="55" t="s">
        <v>87</v>
      </c>
      <c r="E385" s="55" t="s">
        <v>87</v>
      </c>
      <c r="F385" s="55" t="s">
        <v>75</v>
      </c>
      <c r="G385" s="56">
        <v>5</v>
      </c>
      <c r="H385" s="56">
        <v>5</v>
      </c>
      <c r="I385" s="56">
        <v>828</v>
      </c>
      <c r="J385" s="56">
        <v>5</v>
      </c>
      <c r="K385" s="56">
        <v>0</v>
      </c>
      <c r="L385" s="56">
        <v>1350000</v>
      </c>
      <c r="M385" s="56">
        <v>1184540.04</v>
      </c>
      <c r="N385" s="56">
        <v>9691530.52</v>
      </c>
      <c r="O385" s="56">
        <v>88</v>
      </c>
      <c r="P385" s="56">
        <v>0</v>
      </c>
      <c r="Q385" s="56">
        <v>0</v>
      </c>
      <c r="R385" s="56">
        <v>1</v>
      </c>
      <c r="S385" s="56">
        <v>1</v>
      </c>
      <c r="T385" s="55" t="s">
        <v>1167</v>
      </c>
      <c r="U385" s="55" t="s">
        <v>1145</v>
      </c>
      <c r="V385" s="55" t="s">
        <v>1153</v>
      </c>
      <c r="W385" s="55" t="s">
        <v>1180</v>
      </c>
      <c r="X385" s="55" t="s">
        <v>1154</v>
      </c>
      <c r="Y385" s="55" t="s">
        <v>1331</v>
      </c>
      <c r="Z385" s="55" t="s">
        <v>1239</v>
      </c>
    </row>
    <row r="386" spans="1:26">
      <c r="A386" s="55" t="s">
        <v>930</v>
      </c>
      <c r="B386" s="55" t="s">
        <v>272</v>
      </c>
      <c r="C386" s="55" t="s">
        <v>1142</v>
      </c>
      <c r="D386" s="55" t="s">
        <v>1143</v>
      </c>
      <c r="E386" s="55" t="s">
        <v>1143</v>
      </c>
      <c r="F386" s="55" t="s">
        <v>73</v>
      </c>
      <c r="G386" s="56">
        <v>1</v>
      </c>
      <c r="H386" s="56">
        <v>1</v>
      </c>
      <c r="I386" s="56">
        <v>0</v>
      </c>
      <c r="J386" s="56">
        <v>3</v>
      </c>
      <c r="K386" s="56">
        <v>0</v>
      </c>
      <c r="L386" s="56">
        <v>59600000</v>
      </c>
      <c r="M386" s="56">
        <v>11109779.87</v>
      </c>
      <c r="N386" s="56">
        <v>90410486.3</v>
      </c>
      <c r="O386" s="56">
        <v>45</v>
      </c>
      <c r="P386" s="56">
        <v>0</v>
      </c>
      <c r="Q386" s="56">
        <v>0</v>
      </c>
      <c r="R386" s="56">
        <v>0</v>
      </c>
      <c r="S386" s="56">
        <v>0</v>
      </c>
      <c r="T386" s="55" t="s">
        <v>1157</v>
      </c>
      <c r="U386" s="55" t="s">
        <v>1165</v>
      </c>
      <c r="V386" s="55" t="s">
        <v>1146</v>
      </c>
      <c r="W386" s="55" t="s">
        <v>1168</v>
      </c>
      <c r="X386" s="55" t="s">
        <v>1154</v>
      </c>
      <c r="Y386" s="55" t="s">
        <v>1199</v>
      </c>
      <c r="Z386" s="55" t="s">
        <v>1271</v>
      </c>
    </row>
    <row r="387" spans="1:26">
      <c r="A387" s="55" t="s">
        <v>931</v>
      </c>
      <c r="B387" s="55" t="s">
        <v>546</v>
      </c>
      <c r="C387" s="55" t="s">
        <v>1151</v>
      </c>
      <c r="D387" s="55" t="s">
        <v>87</v>
      </c>
      <c r="E387" s="55" t="s">
        <v>87</v>
      </c>
      <c r="F387" s="55" t="s">
        <v>75</v>
      </c>
      <c r="G387" s="56">
        <v>5</v>
      </c>
      <c r="H387" s="56">
        <v>5</v>
      </c>
      <c r="I387" s="56">
        <v>149</v>
      </c>
      <c r="J387" s="56">
        <v>111</v>
      </c>
      <c r="K387" s="56">
        <v>1</v>
      </c>
      <c r="L387" s="56">
        <v>4711600.24</v>
      </c>
      <c r="M387" s="56">
        <v>3417304.32</v>
      </c>
      <c r="N387" s="56">
        <v>125023793.74</v>
      </c>
      <c r="O387" s="56">
        <v>78</v>
      </c>
      <c r="P387" s="56">
        <v>0</v>
      </c>
      <c r="Q387" s="56">
        <v>0</v>
      </c>
      <c r="R387" s="56">
        <v>1</v>
      </c>
      <c r="S387" s="56">
        <v>1</v>
      </c>
      <c r="T387" s="55" t="s">
        <v>1157</v>
      </c>
      <c r="U387" s="55" t="s">
        <v>1145</v>
      </c>
      <c r="V387" s="55" t="s">
        <v>1153</v>
      </c>
      <c r="W387" s="55" t="s">
        <v>1147</v>
      </c>
      <c r="X387" s="55" t="s">
        <v>1154</v>
      </c>
      <c r="Y387" s="55" t="s">
        <v>1332</v>
      </c>
      <c r="Z387" s="55" t="s">
        <v>1229</v>
      </c>
    </row>
    <row r="388" spans="1:26">
      <c r="A388" s="55" t="s">
        <v>932</v>
      </c>
      <c r="B388" s="55" t="s">
        <v>272</v>
      </c>
      <c r="C388" s="55" t="s">
        <v>1142</v>
      </c>
      <c r="D388" s="55" t="s">
        <v>1143</v>
      </c>
      <c r="E388" s="55" t="s">
        <v>1143</v>
      </c>
      <c r="F388" s="55" t="s">
        <v>73</v>
      </c>
      <c r="G388" s="56">
        <v>1</v>
      </c>
      <c r="H388" s="56">
        <v>1</v>
      </c>
      <c r="I388" s="56">
        <v>0</v>
      </c>
      <c r="J388" s="56">
        <v>14</v>
      </c>
      <c r="K388" s="56">
        <v>0</v>
      </c>
      <c r="L388" s="56">
        <v>22422233.82</v>
      </c>
      <c r="M388" s="56">
        <v>460498.8</v>
      </c>
      <c r="N388" s="56">
        <v>8002109.58</v>
      </c>
      <c r="O388" s="56">
        <v>31</v>
      </c>
      <c r="P388" s="56">
        <v>0</v>
      </c>
      <c r="Q388" s="56">
        <v>0</v>
      </c>
      <c r="R388" s="56">
        <v>0</v>
      </c>
      <c r="S388" s="56">
        <v>0</v>
      </c>
      <c r="T388" s="55" t="s">
        <v>1152</v>
      </c>
      <c r="U388" s="55" t="s">
        <v>1145</v>
      </c>
      <c r="V388" s="55" t="s">
        <v>1146</v>
      </c>
      <c r="W388" s="55" t="s">
        <v>1147</v>
      </c>
      <c r="X388" s="55" t="s">
        <v>1159</v>
      </c>
      <c r="Y388" s="55" t="s">
        <v>1298</v>
      </c>
      <c r="Z388" s="55" t="s">
        <v>1150</v>
      </c>
    </row>
    <row r="389" spans="1:26">
      <c r="A389" s="55" t="s">
        <v>933</v>
      </c>
      <c r="B389" s="55" t="s">
        <v>272</v>
      </c>
      <c r="C389" s="55" t="s">
        <v>1142</v>
      </c>
      <c r="D389" s="55" t="s">
        <v>1143</v>
      </c>
      <c r="E389" s="55" t="s">
        <v>1143</v>
      </c>
      <c r="F389" s="55" t="s">
        <v>73</v>
      </c>
      <c r="G389" s="56">
        <v>1</v>
      </c>
      <c r="H389" s="56">
        <v>1</v>
      </c>
      <c r="I389" s="56">
        <v>0</v>
      </c>
      <c r="J389" s="56">
        <v>3</v>
      </c>
      <c r="K389" s="56">
        <v>0</v>
      </c>
      <c r="L389" s="56">
        <v>29204000</v>
      </c>
      <c r="M389" s="56">
        <v>1085674.59</v>
      </c>
      <c r="N389" s="56">
        <v>104168399.9</v>
      </c>
      <c r="O389" s="56">
        <v>73</v>
      </c>
      <c r="P389" s="56">
        <v>0</v>
      </c>
      <c r="Q389" s="56">
        <v>0</v>
      </c>
      <c r="R389" s="56">
        <v>0</v>
      </c>
      <c r="S389" s="56">
        <v>0</v>
      </c>
      <c r="T389" s="55" t="s">
        <v>1157</v>
      </c>
      <c r="U389" s="55" t="s">
        <v>1145</v>
      </c>
      <c r="V389" s="55" t="s">
        <v>1146</v>
      </c>
      <c r="W389" s="55" t="s">
        <v>1168</v>
      </c>
      <c r="X389" s="55" t="s">
        <v>1221</v>
      </c>
      <c r="Y389" s="55" t="s">
        <v>1256</v>
      </c>
      <c r="Z389" s="55" t="s">
        <v>1150</v>
      </c>
    </row>
    <row r="390" spans="1:26">
      <c r="A390" s="55" t="s">
        <v>934</v>
      </c>
      <c r="B390" s="55" t="s">
        <v>272</v>
      </c>
      <c r="C390" s="55" t="s">
        <v>1142</v>
      </c>
      <c r="D390" s="55" t="s">
        <v>1143</v>
      </c>
      <c r="E390" s="55" t="s">
        <v>1143</v>
      </c>
      <c r="F390" s="55" t="s">
        <v>73</v>
      </c>
      <c r="G390" s="56">
        <v>1</v>
      </c>
      <c r="H390" s="56">
        <v>1</v>
      </c>
      <c r="I390" s="56">
        <v>0</v>
      </c>
      <c r="J390" s="56">
        <v>222</v>
      </c>
      <c r="K390" s="56">
        <v>0</v>
      </c>
      <c r="L390" s="56">
        <v>6990047.32</v>
      </c>
      <c r="M390" s="56">
        <v>2614378.4</v>
      </c>
      <c r="N390" s="56">
        <v>6990047.32</v>
      </c>
      <c r="O390" s="56">
        <v>37</v>
      </c>
      <c r="P390" s="56">
        <v>0</v>
      </c>
      <c r="Q390" s="56">
        <v>0</v>
      </c>
      <c r="R390" s="56">
        <v>0</v>
      </c>
      <c r="S390" s="56">
        <v>0</v>
      </c>
      <c r="T390" s="55" t="s">
        <v>1157</v>
      </c>
      <c r="U390" s="55" t="s">
        <v>1165</v>
      </c>
      <c r="V390" s="55" t="s">
        <v>1153</v>
      </c>
      <c r="W390" s="55" t="s">
        <v>1147</v>
      </c>
      <c r="X390" s="55" t="s">
        <v>1205</v>
      </c>
      <c r="Y390" s="55" t="s">
        <v>1333</v>
      </c>
      <c r="Z390" s="55" t="s">
        <v>1193</v>
      </c>
    </row>
    <row r="391" spans="1:26">
      <c r="A391" s="55" t="s">
        <v>935</v>
      </c>
      <c r="B391" s="55" t="s">
        <v>272</v>
      </c>
      <c r="C391" s="55" t="s">
        <v>1142</v>
      </c>
      <c r="D391" s="55" t="s">
        <v>1143</v>
      </c>
      <c r="E391" s="55" t="s">
        <v>1143</v>
      </c>
      <c r="F391" s="55" t="s">
        <v>73</v>
      </c>
      <c r="G391" s="56">
        <v>1</v>
      </c>
      <c r="H391" s="56">
        <v>1</v>
      </c>
      <c r="I391" s="56">
        <v>0</v>
      </c>
      <c r="J391" s="56">
        <v>25</v>
      </c>
      <c r="K391" s="56">
        <v>0</v>
      </c>
      <c r="L391" s="56">
        <v>435229000</v>
      </c>
      <c r="M391" s="56">
        <v>3606271.01</v>
      </c>
      <c r="N391" s="56">
        <v>71476459.68000001</v>
      </c>
      <c r="O391" s="56">
        <v>39</v>
      </c>
      <c r="P391" s="56">
        <v>0</v>
      </c>
      <c r="Q391" s="56">
        <v>0</v>
      </c>
      <c r="R391" s="56">
        <v>0</v>
      </c>
      <c r="S391" s="56">
        <v>0</v>
      </c>
      <c r="T391" s="55" t="s">
        <v>1157</v>
      </c>
      <c r="U391" s="55" t="s">
        <v>1145</v>
      </c>
      <c r="V391" s="55" t="s">
        <v>1153</v>
      </c>
      <c r="W391" s="55" t="s">
        <v>1180</v>
      </c>
      <c r="X391" s="55" t="s">
        <v>1159</v>
      </c>
      <c r="Y391" s="55" t="s">
        <v>1334</v>
      </c>
      <c r="Z391" s="55" t="s">
        <v>1230</v>
      </c>
    </row>
    <row r="392" spans="1:26">
      <c r="A392" s="55" t="s">
        <v>936</v>
      </c>
      <c r="B392" s="55" t="s">
        <v>272</v>
      </c>
      <c r="C392" s="55" t="s">
        <v>1142</v>
      </c>
      <c r="D392" s="55" t="s">
        <v>1143</v>
      </c>
      <c r="E392" s="55" t="s">
        <v>1143</v>
      </c>
      <c r="F392" s="55" t="s">
        <v>73</v>
      </c>
      <c r="G392" s="56">
        <v>1</v>
      </c>
      <c r="H392" s="56">
        <v>1</v>
      </c>
      <c r="I392" s="56">
        <v>0</v>
      </c>
      <c r="J392" s="56">
        <v>1</v>
      </c>
      <c r="K392" s="56">
        <v>0</v>
      </c>
      <c r="L392" s="56">
        <v>0</v>
      </c>
      <c r="M392" s="56">
        <v>186250</v>
      </c>
      <c r="N392" s="56">
        <v>35500000</v>
      </c>
      <c r="O392" s="56">
        <v>6</v>
      </c>
      <c r="P392" s="56">
        <v>1</v>
      </c>
      <c r="Q392" s="56">
        <v>0</v>
      </c>
      <c r="R392" s="56">
        <v>0</v>
      </c>
      <c r="S392" s="56">
        <v>0</v>
      </c>
      <c r="T392" s="55" t="s">
        <v>1162</v>
      </c>
      <c r="U392" s="55" t="s">
        <v>1145</v>
      </c>
      <c r="V392" s="55" t="s">
        <v>1153</v>
      </c>
      <c r="W392" s="55" t="s">
        <v>1168</v>
      </c>
      <c r="X392" s="55" t="s">
        <v>1148</v>
      </c>
      <c r="Y392" s="55" t="s">
        <v>1334</v>
      </c>
      <c r="Z392" s="55" t="s">
        <v>1282</v>
      </c>
    </row>
    <row r="393" spans="1:26">
      <c r="A393" s="55" t="s">
        <v>937</v>
      </c>
      <c r="B393" s="55" t="s">
        <v>272</v>
      </c>
      <c r="C393" s="55" t="s">
        <v>1142</v>
      </c>
      <c r="D393" s="55" t="s">
        <v>1143</v>
      </c>
      <c r="E393" s="55" t="s">
        <v>1143</v>
      </c>
      <c r="F393" s="55" t="s">
        <v>73</v>
      </c>
      <c r="G393" s="56">
        <v>1</v>
      </c>
      <c r="H393" s="56">
        <v>1</v>
      </c>
      <c r="I393" s="56">
        <v>0</v>
      </c>
      <c r="J393" s="56">
        <v>34</v>
      </c>
      <c r="K393" s="56">
        <v>0</v>
      </c>
      <c r="L393" s="56">
        <v>2477716.86</v>
      </c>
      <c r="M393" s="56">
        <v>1667563.73</v>
      </c>
      <c r="N393" s="56">
        <v>3114387.86</v>
      </c>
      <c r="O393" s="56">
        <v>61</v>
      </c>
      <c r="P393" s="56">
        <v>0</v>
      </c>
      <c r="Q393" s="56">
        <v>0</v>
      </c>
      <c r="R393" s="56">
        <v>0</v>
      </c>
      <c r="S393" s="56">
        <v>0</v>
      </c>
      <c r="T393" s="55" t="s">
        <v>1157</v>
      </c>
      <c r="U393" s="55" t="s">
        <v>1145</v>
      </c>
      <c r="V393" s="55" t="s">
        <v>1153</v>
      </c>
      <c r="W393" s="55" t="s">
        <v>1147</v>
      </c>
      <c r="X393" s="55" t="s">
        <v>1148</v>
      </c>
      <c r="Y393" s="55" t="s">
        <v>1335</v>
      </c>
      <c r="Z393" s="55" t="s">
        <v>1220</v>
      </c>
    </row>
    <row r="394" spans="1:26">
      <c r="A394" s="55" t="s">
        <v>938</v>
      </c>
      <c r="B394" s="55" t="s">
        <v>272</v>
      </c>
      <c r="C394" s="55" t="s">
        <v>1142</v>
      </c>
      <c r="D394" s="55" t="s">
        <v>1143</v>
      </c>
      <c r="E394" s="55" t="s">
        <v>1143</v>
      </c>
      <c r="F394" s="55" t="s">
        <v>73</v>
      </c>
      <c r="G394" s="56">
        <v>1</v>
      </c>
      <c r="H394" s="56">
        <v>1</v>
      </c>
      <c r="I394" s="56">
        <v>0</v>
      </c>
      <c r="J394" s="56">
        <v>92</v>
      </c>
      <c r="K394" s="56">
        <v>0</v>
      </c>
      <c r="L394" s="56">
        <v>2674946.4</v>
      </c>
      <c r="M394" s="56">
        <v>1470207.56</v>
      </c>
      <c r="N394" s="56">
        <v>7004533.77</v>
      </c>
      <c r="O394" s="56">
        <v>28</v>
      </c>
      <c r="P394" s="56">
        <v>0</v>
      </c>
      <c r="Q394" s="56">
        <v>0</v>
      </c>
      <c r="R394" s="56">
        <v>0</v>
      </c>
      <c r="S394" s="56">
        <v>0</v>
      </c>
      <c r="T394" s="55" t="s">
        <v>1157</v>
      </c>
      <c r="U394" s="55" t="s">
        <v>1165</v>
      </c>
      <c r="V394" s="55" t="s">
        <v>1146</v>
      </c>
      <c r="W394" s="55" t="s">
        <v>1168</v>
      </c>
      <c r="X394" s="55" t="s">
        <v>1218</v>
      </c>
      <c r="Y394" s="55" t="s">
        <v>1276</v>
      </c>
      <c r="Z394" s="55" t="s">
        <v>1164</v>
      </c>
    </row>
    <row r="395" spans="1:26">
      <c r="A395" s="55" t="s">
        <v>939</v>
      </c>
      <c r="B395" s="55" t="s">
        <v>272</v>
      </c>
      <c r="C395" s="55" t="s">
        <v>1142</v>
      </c>
      <c r="D395" s="55" t="s">
        <v>1143</v>
      </c>
      <c r="E395" s="55" t="s">
        <v>1143</v>
      </c>
      <c r="F395" s="55" t="s">
        <v>73</v>
      </c>
      <c r="G395" s="56">
        <v>1</v>
      </c>
      <c r="H395" s="56">
        <v>1</v>
      </c>
      <c r="I395" s="56">
        <v>0</v>
      </c>
      <c r="J395" s="56">
        <v>30</v>
      </c>
      <c r="K395" s="56">
        <v>0</v>
      </c>
      <c r="L395" s="56">
        <v>9756452.800000001</v>
      </c>
      <c r="M395" s="56">
        <v>20532377.73</v>
      </c>
      <c r="N395" s="56">
        <v>486531566.9299999</v>
      </c>
      <c r="O395" s="56">
        <v>24</v>
      </c>
      <c r="P395" s="56">
        <v>0</v>
      </c>
      <c r="Q395" s="56">
        <v>0</v>
      </c>
      <c r="R395" s="56">
        <v>0</v>
      </c>
      <c r="S395" s="56">
        <v>0</v>
      </c>
      <c r="T395" s="55" t="s">
        <v>1162</v>
      </c>
      <c r="U395" s="55" t="s">
        <v>1165</v>
      </c>
      <c r="V395" s="55" t="s">
        <v>1153</v>
      </c>
      <c r="W395" s="55" t="s">
        <v>1168</v>
      </c>
      <c r="X395" s="55" t="s">
        <v>1154</v>
      </c>
      <c r="Y395" s="55" t="s">
        <v>1336</v>
      </c>
      <c r="Z395" s="55" t="s">
        <v>1196</v>
      </c>
    </row>
    <row r="396" spans="1:26">
      <c r="A396" s="55" t="s">
        <v>940</v>
      </c>
      <c r="B396" s="55" t="s">
        <v>272</v>
      </c>
      <c r="C396" s="55" t="s">
        <v>1142</v>
      </c>
      <c r="D396" s="55" t="s">
        <v>1143</v>
      </c>
      <c r="E396" s="55" t="s">
        <v>1143</v>
      </c>
      <c r="F396" s="55" t="s">
        <v>73</v>
      </c>
      <c r="G396" s="56">
        <v>1</v>
      </c>
      <c r="H396" s="56">
        <v>1</v>
      </c>
      <c r="I396" s="56">
        <v>0</v>
      </c>
      <c r="J396" s="56">
        <v>1</v>
      </c>
      <c r="K396" s="56">
        <v>0</v>
      </c>
      <c r="L396" s="56">
        <v>59600000</v>
      </c>
      <c r="M396" s="56">
        <v>563.08</v>
      </c>
      <c r="N396" s="56">
        <v>11261.6</v>
      </c>
      <c r="O396" s="56">
        <v>57</v>
      </c>
      <c r="P396" s="56">
        <v>0</v>
      </c>
      <c r="Q396" s="56">
        <v>0</v>
      </c>
      <c r="R396" s="56">
        <v>0</v>
      </c>
      <c r="S396" s="56">
        <v>0</v>
      </c>
      <c r="T396" s="55" t="s">
        <v>1173</v>
      </c>
      <c r="U396" s="55" t="s">
        <v>1145</v>
      </c>
      <c r="V396" s="55" t="s">
        <v>1146</v>
      </c>
      <c r="W396" s="55" t="s">
        <v>1147</v>
      </c>
      <c r="X396" s="55" t="s">
        <v>1163</v>
      </c>
      <c r="Y396" s="55" t="s">
        <v>1210</v>
      </c>
      <c r="Z396" s="55" t="s">
        <v>1270</v>
      </c>
    </row>
    <row r="397" spans="1:26">
      <c r="A397" s="55" t="s">
        <v>941</v>
      </c>
      <c r="B397" s="55" t="s">
        <v>563</v>
      </c>
      <c r="C397" s="55" t="s">
        <v>1191</v>
      </c>
      <c r="D397" s="55" t="s">
        <v>1143</v>
      </c>
      <c r="E397" s="55" t="s">
        <v>1143</v>
      </c>
      <c r="F397" s="55" t="s">
        <v>73</v>
      </c>
      <c r="G397" s="56">
        <v>1</v>
      </c>
      <c r="H397" s="56">
        <v>1</v>
      </c>
      <c r="I397" s="56">
        <v>0</v>
      </c>
      <c r="J397" s="56">
        <v>36</v>
      </c>
      <c r="K397" s="56">
        <v>0</v>
      </c>
      <c r="L397" s="56">
        <v>9612489.199999999</v>
      </c>
      <c r="M397" s="56">
        <v>7310191.89</v>
      </c>
      <c r="N397" s="56">
        <v>9612489.199999999</v>
      </c>
      <c r="O397" s="56">
        <v>51</v>
      </c>
      <c r="P397" s="56">
        <v>0</v>
      </c>
      <c r="Q397" s="56">
        <v>0</v>
      </c>
      <c r="R397" s="56">
        <v>0</v>
      </c>
      <c r="S397" s="56">
        <v>0</v>
      </c>
      <c r="T397" s="55" t="s">
        <v>1167</v>
      </c>
      <c r="U397" s="55" t="s">
        <v>1145</v>
      </c>
      <c r="V397" s="55" t="s">
        <v>1146</v>
      </c>
      <c r="W397" s="55" t="s">
        <v>1180</v>
      </c>
      <c r="X397" s="55" t="s">
        <v>1154</v>
      </c>
      <c r="Y397" s="55" t="s">
        <v>1337</v>
      </c>
      <c r="Z397" s="55" t="s">
        <v>1230</v>
      </c>
    </row>
    <row r="398" spans="1:26">
      <c r="A398" s="55" t="s">
        <v>942</v>
      </c>
      <c r="B398" s="55" t="s">
        <v>546</v>
      </c>
      <c r="C398" s="55" t="s">
        <v>1151</v>
      </c>
      <c r="D398" s="55" t="s">
        <v>87</v>
      </c>
      <c r="E398" s="55" t="s">
        <v>87</v>
      </c>
      <c r="F398" s="55" t="s">
        <v>75</v>
      </c>
      <c r="G398" s="56">
        <v>5</v>
      </c>
      <c r="H398" s="56">
        <v>5</v>
      </c>
      <c r="I398" s="56">
        <v>911</v>
      </c>
      <c r="J398" s="56">
        <v>15</v>
      </c>
      <c r="K398" s="56">
        <v>1</v>
      </c>
      <c r="L398" s="56">
        <v>0</v>
      </c>
      <c r="M398" s="56">
        <v>1062926.59</v>
      </c>
      <c r="N398" s="56">
        <v>8975530.9</v>
      </c>
      <c r="O398" s="56">
        <v>120</v>
      </c>
      <c r="P398" s="56">
        <v>1</v>
      </c>
      <c r="Q398" s="56">
        <v>1</v>
      </c>
      <c r="R398" s="56">
        <v>1</v>
      </c>
      <c r="S398" s="56">
        <v>1</v>
      </c>
      <c r="T398" s="55" t="s">
        <v>1167</v>
      </c>
      <c r="U398" s="55" t="s">
        <v>1165</v>
      </c>
      <c r="V398" s="55" t="s">
        <v>1146</v>
      </c>
      <c r="W398" s="55" t="s">
        <v>1168</v>
      </c>
      <c r="X398" s="55" t="s">
        <v>1154</v>
      </c>
      <c r="Y398" s="55" t="s">
        <v>1338</v>
      </c>
      <c r="Z398" s="55" t="s">
        <v>1164</v>
      </c>
    </row>
    <row r="399" spans="1:26">
      <c r="A399" s="55" t="s">
        <v>943</v>
      </c>
      <c r="B399" s="55" t="s">
        <v>272</v>
      </c>
      <c r="C399" s="55" t="s">
        <v>1142</v>
      </c>
      <c r="D399" s="55" t="s">
        <v>1143</v>
      </c>
      <c r="E399" s="55" t="s">
        <v>1143</v>
      </c>
      <c r="F399" s="55" t="s">
        <v>73</v>
      </c>
      <c r="G399" s="56">
        <v>1</v>
      </c>
      <c r="H399" s="56">
        <v>1</v>
      </c>
      <c r="I399" s="56">
        <v>0</v>
      </c>
      <c r="J399" s="56">
        <v>8</v>
      </c>
      <c r="K399" s="56">
        <v>0</v>
      </c>
      <c r="L399" s="56">
        <v>0</v>
      </c>
      <c r="M399" s="56">
        <v>4767963.09</v>
      </c>
      <c r="N399" s="56">
        <v>145774969.5</v>
      </c>
      <c r="O399" s="56">
        <v>22</v>
      </c>
      <c r="P399" s="56">
        <v>1</v>
      </c>
      <c r="Q399" s="56">
        <v>0</v>
      </c>
      <c r="R399" s="56">
        <v>0</v>
      </c>
      <c r="S399" s="56">
        <v>0</v>
      </c>
      <c r="T399" s="55" t="s">
        <v>1162</v>
      </c>
      <c r="U399" s="55" t="s">
        <v>1145</v>
      </c>
      <c r="V399" s="55" t="s">
        <v>1153</v>
      </c>
      <c r="W399" s="55" t="s">
        <v>1168</v>
      </c>
      <c r="X399" s="55" t="s">
        <v>1258</v>
      </c>
      <c r="Y399" s="55" t="s">
        <v>1339</v>
      </c>
      <c r="Z399" s="55" t="s">
        <v>1229</v>
      </c>
    </row>
    <row r="400" spans="1:26">
      <c r="A400" s="55" t="s">
        <v>944</v>
      </c>
      <c r="B400" s="55" t="s">
        <v>272</v>
      </c>
      <c r="C400" s="55" t="s">
        <v>1142</v>
      </c>
      <c r="D400" s="55" t="s">
        <v>1143</v>
      </c>
      <c r="E400" s="55" t="s">
        <v>1143</v>
      </c>
      <c r="F400" s="55" t="s">
        <v>73</v>
      </c>
      <c r="G400" s="56">
        <v>1</v>
      </c>
      <c r="H400" s="56">
        <v>1</v>
      </c>
      <c r="I400" s="56">
        <v>0</v>
      </c>
      <c r="J400" s="56">
        <v>67</v>
      </c>
      <c r="K400" s="56">
        <v>0</v>
      </c>
      <c r="L400" s="56">
        <v>1655064.82</v>
      </c>
      <c r="M400" s="56">
        <v>1202445.91</v>
      </c>
      <c r="N400" s="56">
        <v>1655064.82</v>
      </c>
      <c r="O400" s="56">
        <v>43</v>
      </c>
      <c r="P400" s="56">
        <v>0</v>
      </c>
      <c r="Q400" s="56">
        <v>0</v>
      </c>
      <c r="R400" s="56">
        <v>0</v>
      </c>
      <c r="S400" s="56">
        <v>0</v>
      </c>
      <c r="T400" s="55" t="s">
        <v>1157</v>
      </c>
      <c r="U400" s="55" t="s">
        <v>1165</v>
      </c>
      <c r="V400" s="55" t="s">
        <v>1146</v>
      </c>
      <c r="W400" s="55" t="s">
        <v>1168</v>
      </c>
      <c r="X400" s="55" t="s">
        <v>1154</v>
      </c>
      <c r="Y400" s="55" t="s">
        <v>1256</v>
      </c>
      <c r="Z400" s="55" t="s">
        <v>1185</v>
      </c>
    </row>
    <row r="401" spans="1:26">
      <c r="A401" s="55" t="s">
        <v>945</v>
      </c>
      <c r="B401" s="55" t="s">
        <v>272</v>
      </c>
      <c r="C401" s="55" t="s">
        <v>1142</v>
      </c>
      <c r="D401" s="55" t="s">
        <v>1143</v>
      </c>
      <c r="E401" s="55" t="s">
        <v>1143</v>
      </c>
      <c r="F401" s="55" t="s">
        <v>73</v>
      </c>
      <c r="G401" s="56">
        <v>1</v>
      </c>
      <c r="H401" s="56">
        <v>1</v>
      </c>
      <c r="I401" s="56">
        <v>0</v>
      </c>
      <c r="J401" s="56">
        <v>1</v>
      </c>
      <c r="K401" s="56">
        <v>0</v>
      </c>
      <c r="L401" s="56">
        <v>739120.62</v>
      </c>
      <c r="M401" s="56">
        <v>773399.87</v>
      </c>
      <c r="N401" s="56">
        <v>739120.62</v>
      </c>
      <c r="O401" s="56">
        <v>2</v>
      </c>
      <c r="P401" s="56">
        <v>0</v>
      </c>
      <c r="Q401" s="56">
        <v>0</v>
      </c>
      <c r="R401" s="56">
        <v>0</v>
      </c>
      <c r="S401" s="56">
        <v>0</v>
      </c>
      <c r="T401" s="55" t="s">
        <v>1162</v>
      </c>
      <c r="U401" s="55" t="s">
        <v>1145</v>
      </c>
      <c r="V401" s="55" t="s">
        <v>1153</v>
      </c>
      <c r="W401" s="55" t="s">
        <v>1168</v>
      </c>
      <c r="X401" s="55" t="s">
        <v>1163</v>
      </c>
      <c r="Y401" s="55" t="s">
        <v>1339</v>
      </c>
      <c r="Z401" s="55" t="s">
        <v>1150</v>
      </c>
    </row>
    <row r="402" spans="1:26">
      <c r="A402" s="55" t="s">
        <v>946</v>
      </c>
      <c r="B402" s="55" t="s">
        <v>272</v>
      </c>
      <c r="C402" s="55" t="s">
        <v>1142</v>
      </c>
      <c r="D402" s="55" t="s">
        <v>1143</v>
      </c>
      <c r="E402" s="55" t="s">
        <v>1143</v>
      </c>
      <c r="F402" s="55" t="s">
        <v>73</v>
      </c>
      <c r="G402" s="56">
        <v>1</v>
      </c>
      <c r="H402" s="56">
        <v>1</v>
      </c>
      <c r="I402" s="56">
        <v>0</v>
      </c>
      <c r="J402" s="56">
        <v>35</v>
      </c>
      <c r="K402" s="56">
        <v>0</v>
      </c>
      <c r="L402" s="56">
        <v>12310244.23</v>
      </c>
      <c r="M402" s="56">
        <v>1559119.13</v>
      </c>
      <c r="N402" s="56">
        <v>12310244.23</v>
      </c>
      <c r="O402" s="56">
        <v>22</v>
      </c>
      <c r="P402" s="56">
        <v>0</v>
      </c>
      <c r="Q402" s="56">
        <v>0</v>
      </c>
      <c r="R402" s="56">
        <v>0</v>
      </c>
      <c r="S402" s="56">
        <v>0</v>
      </c>
      <c r="T402" s="55" t="s">
        <v>1157</v>
      </c>
      <c r="U402" s="55" t="s">
        <v>1145</v>
      </c>
      <c r="V402" s="55" t="s">
        <v>1153</v>
      </c>
      <c r="W402" s="55" t="s">
        <v>1168</v>
      </c>
      <c r="X402" s="55" t="s">
        <v>1154</v>
      </c>
      <c r="Y402" s="55" t="s">
        <v>1340</v>
      </c>
      <c r="Z402" s="55" t="s">
        <v>1172</v>
      </c>
    </row>
    <row r="403" spans="1:26">
      <c r="A403" s="55" t="s">
        <v>947</v>
      </c>
      <c r="B403" s="55" t="s">
        <v>272</v>
      </c>
      <c r="C403" s="55" t="s">
        <v>1187</v>
      </c>
      <c r="D403" s="55" t="s">
        <v>1188</v>
      </c>
      <c r="E403" s="55" t="s">
        <v>1188</v>
      </c>
      <c r="F403" s="55" t="s">
        <v>74</v>
      </c>
      <c r="G403" s="56">
        <v>2</v>
      </c>
      <c r="H403" s="56">
        <v>2</v>
      </c>
      <c r="I403" s="56">
        <v>1</v>
      </c>
      <c r="J403" s="56">
        <v>20</v>
      </c>
      <c r="K403" s="56">
        <v>0</v>
      </c>
      <c r="L403" s="56">
        <v>152830330.18</v>
      </c>
      <c r="M403" s="56">
        <v>6830604.62</v>
      </c>
      <c r="N403" s="56">
        <v>145380330.18</v>
      </c>
      <c r="O403" s="56">
        <v>41</v>
      </c>
      <c r="P403" s="56">
        <v>0</v>
      </c>
      <c r="Q403" s="56">
        <v>0</v>
      </c>
      <c r="R403" s="56">
        <v>0</v>
      </c>
      <c r="S403" s="56">
        <v>1</v>
      </c>
      <c r="T403" s="55" t="s">
        <v>1157</v>
      </c>
      <c r="U403" s="55" t="s">
        <v>1145</v>
      </c>
      <c r="V403" s="55" t="s">
        <v>1146</v>
      </c>
      <c r="W403" s="55" t="s">
        <v>1158</v>
      </c>
      <c r="X403" s="55" t="s">
        <v>1154</v>
      </c>
      <c r="Y403" s="55" t="s">
        <v>1340</v>
      </c>
      <c r="Z403" s="55" t="s">
        <v>1230</v>
      </c>
    </row>
    <row r="404" spans="1:26">
      <c r="A404" s="55" t="s">
        <v>948</v>
      </c>
      <c r="B404" s="55" t="s">
        <v>272</v>
      </c>
      <c r="C404" s="55" t="s">
        <v>1142</v>
      </c>
      <c r="D404" s="55" t="s">
        <v>1143</v>
      </c>
      <c r="E404" s="55" t="s">
        <v>1143</v>
      </c>
      <c r="F404" s="55" t="s">
        <v>73</v>
      </c>
      <c r="G404" s="56">
        <v>1</v>
      </c>
      <c r="H404" s="56">
        <v>1</v>
      </c>
      <c r="I404" s="56">
        <v>0</v>
      </c>
      <c r="J404" s="56">
        <v>4</v>
      </c>
      <c r="K404" s="56">
        <v>0</v>
      </c>
      <c r="L404" s="56">
        <v>29204000</v>
      </c>
      <c r="M404" s="56">
        <v>102598.83</v>
      </c>
      <c r="N404" s="56">
        <v>2051976.68</v>
      </c>
      <c r="O404" s="56">
        <v>96</v>
      </c>
      <c r="P404" s="56">
        <v>0</v>
      </c>
      <c r="Q404" s="56">
        <v>0</v>
      </c>
      <c r="R404" s="56">
        <v>0</v>
      </c>
      <c r="S404" s="56">
        <v>0</v>
      </c>
      <c r="T404" s="55" t="s">
        <v>1167</v>
      </c>
      <c r="U404" s="55" t="s">
        <v>1165</v>
      </c>
      <c r="V404" s="55" t="s">
        <v>1146</v>
      </c>
      <c r="W404" s="55" t="s">
        <v>1147</v>
      </c>
      <c r="X404" s="55" t="s">
        <v>1154</v>
      </c>
      <c r="Y404" s="55" t="s">
        <v>1341</v>
      </c>
      <c r="Z404" s="55" t="s">
        <v>1230</v>
      </c>
    </row>
    <row r="405" spans="1:26">
      <c r="A405" s="55" t="s">
        <v>949</v>
      </c>
      <c r="B405" s="55" t="s">
        <v>546</v>
      </c>
      <c r="C405" s="55" t="s">
        <v>1151</v>
      </c>
      <c r="D405" s="55" t="s">
        <v>87</v>
      </c>
      <c r="E405" s="55" t="s">
        <v>87</v>
      </c>
      <c r="F405" s="55" t="s">
        <v>75</v>
      </c>
      <c r="G405" s="56">
        <v>5</v>
      </c>
      <c r="H405" s="56">
        <v>5</v>
      </c>
      <c r="I405" s="56">
        <v>178</v>
      </c>
      <c r="J405" s="56">
        <v>10</v>
      </c>
      <c r="K405" s="56">
        <v>1</v>
      </c>
      <c r="L405" s="56">
        <v>14900000</v>
      </c>
      <c r="M405" s="56">
        <v>396564.38</v>
      </c>
      <c r="N405" s="56">
        <v>11309771.36</v>
      </c>
      <c r="O405" s="56">
        <v>54</v>
      </c>
      <c r="P405" s="56">
        <v>0</v>
      </c>
      <c r="Q405" s="56">
        <v>0</v>
      </c>
      <c r="R405" s="56">
        <v>1</v>
      </c>
      <c r="S405" s="56">
        <v>1</v>
      </c>
      <c r="T405" s="55" t="s">
        <v>1157</v>
      </c>
      <c r="U405" s="55" t="s">
        <v>1145</v>
      </c>
      <c r="V405" s="55" t="s">
        <v>1153</v>
      </c>
      <c r="W405" s="55" t="s">
        <v>1147</v>
      </c>
      <c r="X405" s="55" t="s">
        <v>1154</v>
      </c>
      <c r="Y405" s="55" t="s">
        <v>1320</v>
      </c>
      <c r="Z405" s="55" t="s">
        <v>1150</v>
      </c>
    </row>
    <row r="406" spans="1:26">
      <c r="A406" s="55" t="s">
        <v>950</v>
      </c>
      <c r="B406" s="55" t="s">
        <v>272</v>
      </c>
      <c r="C406" s="55" t="s">
        <v>1142</v>
      </c>
      <c r="D406" s="55" t="s">
        <v>1143</v>
      </c>
      <c r="E406" s="55" t="s">
        <v>1143</v>
      </c>
      <c r="F406" s="55" t="s">
        <v>73</v>
      </c>
      <c r="G406" s="56">
        <v>1</v>
      </c>
      <c r="H406" s="56">
        <v>1</v>
      </c>
      <c r="I406" s="56">
        <v>0</v>
      </c>
      <c r="J406" s="56">
        <v>5</v>
      </c>
      <c r="K406" s="56">
        <v>0</v>
      </c>
      <c r="L406" s="56">
        <v>81159.5</v>
      </c>
      <c r="M406" s="56">
        <v>109866.98</v>
      </c>
      <c r="N406" s="56">
        <v>81159.5</v>
      </c>
      <c r="O406" s="56">
        <v>5</v>
      </c>
      <c r="P406" s="56">
        <v>0</v>
      </c>
      <c r="Q406" s="56">
        <v>0</v>
      </c>
      <c r="R406" s="56">
        <v>0</v>
      </c>
      <c r="S406" s="56">
        <v>0</v>
      </c>
      <c r="T406" s="55" t="s">
        <v>1157</v>
      </c>
      <c r="U406" s="55" t="s">
        <v>1145</v>
      </c>
      <c r="V406" s="55" t="s">
        <v>1153</v>
      </c>
      <c r="W406" s="55" t="s">
        <v>1180</v>
      </c>
      <c r="X406" s="55" t="s">
        <v>1159</v>
      </c>
      <c r="Y406" s="55" t="s">
        <v>1320</v>
      </c>
      <c r="Z406" s="55" t="s">
        <v>1164</v>
      </c>
    </row>
    <row r="407" spans="1:26">
      <c r="A407" s="55" t="s">
        <v>951</v>
      </c>
      <c r="B407" s="55" t="s">
        <v>272</v>
      </c>
      <c r="C407" s="55" t="s">
        <v>1142</v>
      </c>
      <c r="D407" s="55" t="s">
        <v>1143</v>
      </c>
      <c r="E407" s="55" t="s">
        <v>1143</v>
      </c>
      <c r="F407" s="55" t="s">
        <v>73</v>
      </c>
      <c r="G407" s="56">
        <v>1</v>
      </c>
      <c r="H407" s="56">
        <v>1</v>
      </c>
      <c r="I407" s="56">
        <v>0</v>
      </c>
      <c r="J407" s="56">
        <v>7</v>
      </c>
      <c r="K407" s="56">
        <v>0</v>
      </c>
      <c r="L407" s="56">
        <v>326310000</v>
      </c>
      <c r="M407" s="56">
        <v>7259530.66</v>
      </c>
      <c r="N407" s="56">
        <v>145190613.12</v>
      </c>
      <c r="O407" s="56">
        <v>167</v>
      </c>
      <c r="P407" s="56">
        <v>0</v>
      </c>
      <c r="Q407" s="56">
        <v>0</v>
      </c>
      <c r="R407" s="56">
        <v>0</v>
      </c>
      <c r="S407" s="56">
        <v>0</v>
      </c>
      <c r="T407" s="55" t="s">
        <v>1162</v>
      </c>
      <c r="U407" s="55" t="s">
        <v>1145</v>
      </c>
      <c r="V407" s="55" t="s">
        <v>1153</v>
      </c>
      <c r="W407" s="55" t="s">
        <v>1168</v>
      </c>
      <c r="X407" s="55" t="s">
        <v>1201</v>
      </c>
      <c r="Y407" s="55" t="s">
        <v>1342</v>
      </c>
      <c r="Z407" s="55" t="s">
        <v>1239</v>
      </c>
    </row>
    <row r="408" spans="1:26">
      <c r="A408" s="55" t="s">
        <v>952</v>
      </c>
      <c r="B408" s="55" t="s">
        <v>272</v>
      </c>
      <c r="C408" s="55" t="s">
        <v>1187</v>
      </c>
      <c r="D408" s="55" t="s">
        <v>1143</v>
      </c>
      <c r="E408" s="55" t="s">
        <v>1188</v>
      </c>
      <c r="F408" s="55" t="s">
        <v>73</v>
      </c>
      <c r="G408" s="56">
        <v>1</v>
      </c>
      <c r="H408" s="56">
        <v>2</v>
      </c>
      <c r="I408" s="56">
        <v>0</v>
      </c>
      <c r="J408" s="56">
        <v>285</v>
      </c>
      <c r="K408" s="56">
        <v>0</v>
      </c>
      <c r="L408" s="56">
        <v>3679954.02</v>
      </c>
      <c r="M408" s="56">
        <v>1715997.57</v>
      </c>
      <c r="N408" s="56">
        <v>4009892.55</v>
      </c>
      <c r="O408" s="56">
        <v>36</v>
      </c>
      <c r="P408" s="56">
        <v>0</v>
      </c>
      <c r="Q408" s="56">
        <v>0</v>
      </c>
      <c r="R408" s="56">
        <v>0</v>
      </c>
      <c r="S408" s="56">
        <v>0</v>
      </c>
      <c r="T408" s="55" t="s">
        <v>1152</v>
      </c>
      <c r="U408" s="55" t="s">
        <v>1145</v>
      </c>
      <c r="V408" s="55" t="s">
        <v>1153</v>
      </c>
      <c r="W408" s="55" t="s">
        <v>1147</v>
      </c>
      <c r="X408" s="55" t="s">
        <v>1159</v>
      </c>
      <c r="Y408" s="55" t="s">
        <v>1320</v>
      </c>
      <c r="Z408" s="55" t="s">
        <v>1211</v>
      </c>
    </row>
    <row r="409" spans="1:26">
      <c r="A409" s="55" t="s">
        <v>953</v>
      </c>
      <c r="B409" s="55" t="s">
        <v>272</v>
      </c>
      <c r="C409" s="55" t="s">
        <v>1142</v>
      </c>
      <c r="D409" s="55" t="s">
        <v>1143</v>
      </c>
      <c r="E409" s="55" t="s">
        <v>1143</v>
      </c>
      <c r="F409" s="55" t="s">
        <v>73</v>
      </c>
      <c r="G409" s="56">
        <v>1</v>
      </c>
      <c r="H409" s="56">
        <v>1</v>
      </c>
      <c r="I409" s="56">
        <v>0</v>
      </c>
      <c r="J409" s="56">
        <v>40</v>
      </c>
      <c r="K409" s="56">
        <v>0</v>
      </c>
      <c r="L409" s="56">
        <v>13262099.2</v>
      </c>
      <c r="M409" s="56">
        <v>2238890.48</v>
      </c>
      <c r="N409" s="56">
        <v>13262099.2</v>
      </c>
      <c r="O409" s="56">
        <v>41</v>
      </c>
      <c r="P409" s="56">
        <v>0</v>
      </c>
      <c r="Q409" s="56">
        <v>0</v>
      </c>
      <c r="R409" s="56">
        <v>0</v>
      </c>
      <c r="S409" s="56">
        <v>0</v>
      </c>
      <c r="T409" s="55" t="s">
        <v>1167</v>
      </c>
      <c r="U409" s="55" t="s">
        <v>1145</v>
      </c>
      <c r="V409" s="55" t="s">
        <v>1153</v>
      </c>
      <c r="W409" s="55" t="s">
        <v>1147</v>
      </c>
      <c r="X409" s="55" t="s">
        <v>1159</v>
      </c>
      <c r="Y409" s="55" t="s">
        <v>1320</v>
      </c>
      <c r="Z409" s="55" t="s">
        <v>1166</v>
      </c>
    </row>
    <row r="410" spans="1:26">
      <c r="A410" s="55" t="s">
        <v>954</v>
      </c>
      <c r="B410" s="55" t="s">
        <v>272</v>
      </c>
      <c r="C410" s="55" t="s">
        <v>1142</v>
      </c>
      <c r="D410" s="55" t="s">
        <v>1213</v>
      </c>
      <c r="E410" s="55" t="s">
        <v>1214</v>
      </c>
      <c r="F410" s="55" t="s">
        <v>76</v>
      </c>
      <c r="H410" s="56">
        <v>1</v>
      </c>
      <c r="I410" s="56">
        <v>0</v>
      </c>
      <c r="J410" s="56">
        <v>2</v>
      </c>
      <c r="K410" s="56">
        <v>0</v>
      </c>
      <c r="L410" s="56">
        <v>0</v>
      </c>
      <c r="M410" s="56">
        <v>0</v>
      </c>
      <c r="N410" s="56">
        <v>0</v>
      </c>
      <c r="O410" s="56">
        <v>25</v>
      </c>
      <c r="P410" s="56">
        <v>1</v>
      </c>
      <c r="Q410" s="56">
        <v>0</v>
      </c>
      <c r="R410" s="56">
        <v>0</v>
      </c>
      <c r="S410" s="56">
        <v>0</v>
      </c>
      <c r="T410" s="55" t="s">
        <v>1157</v>
      </c>
      <c r="U410" s="55" t="s">
        <v>1145</v>
      </c>
      <c r="V410" s="55" t="s">
        <v>1153</v>
      </c>
      <c r="W410" s="55" t="s">
        <v>1147</v>
      </c>
      <c r="X410" s="55" t="s">
        <v>1159</v>
      </c>
      <c r="Y410" s="55" t="s">
        <v>1320</v>
      </c>
      <c r="Z410" s="55" t="s">
        <v>1166</v>
      </c>
    </row>
    <row r="411" spans="1:26">
      <c r="A411" s="55" t="s">
        <v>955</v>
      </c>
      <c r="B411" s="55" t="s">
        <v>272</v>
      </c>
      <c r="C411" s="55" t="s">
        <v>1142</v>
      </c>
      <c r="D411" s="55" t="s">
        <v>1143</v>
      </c>
      <c r="E411" s="55" t="s">
        <v>1143</v>
      </c>
      <c r="F411" s="55" t="s">
        <v>73</v>
      </c>
      <c r="G411" s="56">
        <v>1</v>
      </c>
      <c r="H411" s="56">
        <v>1</v>
      </c>
      <c r="I411" s="56">
        <v>0</v>
      </c>
      <c r="J411" s="56">
        <v>3</v>
      </c>
      <c r="K411" s="56">
        <v>0</v>
      </c>
      <c r="L411" s="56">
        <v>74500000</v>
      </c>
      <c r="M411" s="56">
        <v>769734.59</v>
      </c>
      <c r="N411" s="56">
        <v>15394691.76</v>
      </c>
      <c r="O411" s="56">
        <v>76</v>
      </c>
      <c r="P411" s="56">
        <v>0</v>
      </c>
      <c r="Q411" s="56">
        <v>0</v>
      </c>
      <c r="R411" s="56">
        <v>0</v>
      </c>
      <c r="S411" s="56">
        <v>0</v>
      </c>
      <c r="T411" s="55" t="s">
        <v>1167</v>
      </c>
      <c r="U411" s="55" t="s">
        <v>1145</v>
      </c>
      <c r="V411" s="55" t="s">
        <v>1146</v>
      </c>
      <c r="W411" s="55" t="s">
        <v>1181</v>
      </c>
      <c r="X411" s="55" t="s">
        <v>1159</v>
      </c>
      <c r="Y411" s="55" t="s">
        <v>1284</v>
      </c>
      <c r="Z411" s="55" t="s">
        <v>1192</v>
      </c>
    </row>
    <row r="412" spans="1:26">
      <c r="A412" s="55" t="s">
        <v>956</v>
      </c>
      <c r="B412" s="55" t="s">
        <v>272</v>
      </c>
      <c r="C412" s="55" t="s">
        <v>1142</v>
      </c>
      <c r="D412" s="55" t="s">
        <v>1143</v>
      </c>
      <c r="E412" s="55" t="s">
        <v>1143</v>
      </c>
      <c r="F412" s="55" t="s">
        <v>73</v>
      </c>
      <c r="G412" s="56">
        <v>1</v>
      </c>
      <c r="H412" s="56">
        <v>1</v>
      </c>
      <c r="I412" s="56">
        <v>0</v>
      </c>
      <c r="J412" s="56">
        <v>17</v>
      </c>
      <c r="K412" s="56">
        <v>0</v>
      </c>
      <c r="L412" s="56">
        <v>670053293.5599999</v>
      </c>
      <c r="M412" s="56">
        <v>76192685.86</v>
      </c>
      <c r="N412" s="56">
        <v>2870139503.36</v>
      </c>
      <c r="O412" s="56">
        <v>124</v>
      </c>
      <c r="P412" s="56">
        <v>0</v>
      </c>
      <c r="Q412" s="56">
        <v>0</v>
      </c>
      <c r="R412" s="56">
        <v>0</v>
      </c>
      <c r="S412" s="56">
        <v>0</v>
      </c>
      <c r="T412" s="55" t="s">
        <v>1152</v>
      </c>
      <c r="U412" s="55" t="s">
        <v>1145</v>
      </c>
      <c r="V412" s="55" t="s">
        <v>1146</v>
      </c>
      <c r="W412" s="55" t="s">
        <v>1147</v>
      </c>
      <c r="X412" s="55" t="s">
        <v>1154</v>
      </c>
      <c r="Y412" s="55" t="s">
        <v>1320</v>
      </c>
      <c r="Z412" s="55" t="s">
        <v>1229</v>
      </c>
    </row>
    <row r="413" spans="1:26">
      <c r="A413" s="55" t="s">
        <v>957</v>
      </c>
      <c r="B413" s="55" t="s">
        <v>272</v>
      </c>
      <c r="C413" s="55" t="s">
        <v>1142</v>
      </c>
      <c r="D413" s="55" t="s">
        <v>1143</v>
      </c>
      <c r="E413" s="55" t="s">
        <v>1143</v>
      </c>
      <c r="F413" s="55" t="s">
        <v>73</v>
      </c>
      <c r="G413" s="56">
        <v>1</v>
      </c>
      <c r="H413" s="56">
        <v>1</v>
      </c>
      <c r="I413" s="56">
        <v>0</v>
      </c>
      <c r="J413" s="56">
        <v>5</v>
      </c>
      <c r="K413" s="56">
        <v>0</v>
      </c>
      <c r="L413" s="56">
        <v>312900000</v>
      </c>
      <c r="M413" s="56">
        <v>3827612.02</v>
      </c>
      <c r="N413" s="56">
        <v>76552240.31999999</v>
      </c>
      <c r="O413" s="56">
        <v>140</v>
      </c>
      <c r="P413" s="56">
        <v>0</v>
      </c>
      <c r="Q413" s="56">
        <v>0</v>
      </c>
      <c r="R413" s="56">
        <v>0</v>
      </c>
      <c r="S413" s="56">
        <v>0</v>
      </c>
      <c r="T413" s="55" t="s">
        <v>1144</v>
      </c>
      <c r="U413" s="55" t="s">
        <v>1145</v>
      </c>
      <c r="V413" s="55" t="s">
        <v>1146</v>
      </c>
      <c r="W413" s="55" t="s">
        <v>1147</v>
      </c>
      <c r="X413" s="55" t="s">
        <v>1159</v>
      </c>
      <c r="Y413" s="55" t="s">
        <v>1338</v>
      </c>
      <c r="Z413" s="55" t="s">
        <v>1265</v>
      </c>
    </row>
    <row r="414" spans="1:26">
      <c r="A414" s="55" t="s">
        <v>958</v>
      </c>
      <c r="B414" s="55" t="s">
        <v>272</v>
      </c>
      <c r="C414" s="55" t="s">
        <v>1142</v>
      </c>
      <c r="D414" s="55" t="s">
        <v>1213</v>
      </c>
      <c r="E414" s="55" t="s">
        <v>1214</v>
      </c>
      <c r="F414" s="55" t="s">
        <v>76</v>
      </c>
      <c r="H414" s="56">
        <v>1</v>
      </c>
      <c r="I414" s="56">
        <v>0</v>
      </c>
      <c r="J414" s="56">
        <v>2</v>
      </c>
      <c r="K414" s="56">
        <v>0</v>
      </c>
      <c r="L414" s="56">
        <v>0</v>
      </c>
      <c r="M414" s="56">
        <v>0</v>
      </c>
      <c r="N414" s="56">
        <v>0</v>
      </c>
      <c r="O414" s="56">
        <v>110</v>
      </c>
      <c r="P414" s="56">
        <v>1</v>
      </c>
      <c r="Q414" s="56">
        <v>0</v>
      </c>
      <c r="R414" s="56">
        <v>0</v>
      </c>
      <c r="S414" s="56">
        <v>0</v>
      </c>
      <c r="T414" s="55" t="s">
        <v>1167</v>
      </c>
      <c r="U414" s="55" t="s">
        <v>1145</v>
      </c>
      <c r="V414" s="55" t="s">
        <v>1146</v>
      </c>
      <c r="W414" s="55" t="s">
        <v>1168</v>
      </c>
      <c r="X414" s="55" t="s">
        <v>1154</v>
      </c>
      <c r="Y414" s="55" t="s">
        <v>1343</v>
      </c>
      <c r="Z414" s="55" t="s">
        <v>1179</v>
      </c>
    </row>
    <row r="415" spans="1:26">
      <c r="A415" s="55" t="s">
        <v>959</v>
      </c>
      <c r="B415" s="55" t="s">
        <v>546</v>
      </c>
      <c r="C415" s="55" t="s">
        <v>1151</v>
      </c>
      <c r="D415" s="55" t="s">
        <v>87</v>
      </c>
      <c r="E415" s="55" t="s">
        <v>87</v>
      </c>
      <c r="F415" s="55" t="s">
        <v>75</v>
      </c>
      <c r="G415" s="56">
        <v>5</v>
      </c>
      <c r="H415" s="56">
        <v>5</v>
      </c>
      <c r="I415" s="56">
        <v>149</v>
      </c>
      <c r="J415" s="56">
        <v>53</v>
      </c>
      <c r="K415" s="56">
        <v>0</v>
      </c>
      <c r="L415" s="56">
        <v>0</v>
      </c>
      <c r="M415" s="56">
        <v>1367697.53</v>
      </c>
      <c r="N415" s="56">
        <v>39545160.34</v>
      </c>
      <c r="O415" s="56">
        <v>29</v>
      </c>
      <c r="P415" s="56">
        <v>1</v>
      </c>
      <c r="Q415" s="56">
        <v>0</v>
      </c>
      <c r="R415" s="56">
        <v>1</v>
      </c>
      <c r="S415" s="56">
        <v>1</v>
      </c>
      <c r="T415" s="55" t="s">
        <v>1162</v>
      </c>
      <c r="U415" s="55" t="s">
        <v>1145</v>
      </c>
      <c r="V415" s="55" t="s">
        <v>1153</v>
      </c>
      <c r="W415" s="55" t="s">
        <v>1180</v>
      </c>
      <c r="X415" s="55" t="s">
        <v>1159</v>
      </c>
      <c r="Y415" s="55" t="s">
        <v>1325</v>
      </c>
      <c r="Z415" s="55" t="s">
        <v>1299</v>
      </c>
    </row>
    <row r="416" spans="1:26">
      <c r="A416" s="55" t="s">
        <v>960</v>
      </c>
      <c r="B416" s="55" t="s">
        <v>272</v>
      </c>
      <c r="C416" s="55" t="s">
        <v>1187</v>
      </c>
      <c r="D416" s="55" t="s">
        <v>1188</v>
      </c>
      <c r="E416" s="55" t="s">
        <v>1188</v>
      </c>
      <c r="F416" s="55" t="s">
        <v>74</v>
      </c>
      <c r="G416" s="56">
        <v>2</v>
      </c>
      <c r="H416" s="56">
        <v>2</v>
      </c>
      <c r="I416" s="56">
        <v>4</v>
      </c>
      <c r="J416" s="56">
        <v>27</v>
      </c>
      <c r="K416" s="56">
        <v>1</v>
      </c>
      <c r="L416" s="56">
        <v>109079085.81</v>
      </c>
      <c r="M416" s="56">
        <v>68214176.51000001</v>
      </c>
      <c r="N416" s="56">
        <v>4195138372.28</v>
      </c>
      <c r="O416" s="56">
        <v>130</v>
      </c>
      <c r="P416" s="56">
        <v>0</v>
      </c>
      <c r="Q416" s="56">
        <v>0</v>
      </c>
      <c r="R416" s="56">
        <v>0</v>
      </c>
      <c r="S416" s="56">
        <v>1</v>
      </c>
      <c r="T416" s="55" t="s">
        <v>1173</v>
      </c>
      <c r="U416" s="55" t="s">
        <v>1145</v>
      </c>
      <c r="V416" s="55" t="s">
        <v>1146</v>
      </c>
      <c r="W416" s="55" t="s">
        <v>1147</v>
      </c>
      <c r="X416" s="55" t="s">
        <v>1154</v>
      </c>
      <c r="Y416" s="55" t="s">
        <v>1344</v>
      </c>
      <c r="Z416" s="55" t="s">
        <v>1267</v>
      </c>
    </row>
    <row r="417" spans="1:26">
      <c r="A417" s="55" t="s">
        <v>961</v>
      </c>
      <c r="B417" s="55" t="s">
        <v>272</v>
      </c>
      <c r="C417" s="55" t="s">
        <v>1236</v>
      </c>
      <c r="D417" s="55" t="s">
        <v>1143</v>
      </c>
      <c r="E417" s="55" t="s">
        <v>87</v>
      </c>
      <c r="F417" s="55" t="s">
        <v>73</v>
      </c>
      <c r="G417" s="56">
        <v>1</v>
      </c>
      <c r="H417" s="56">
        <v>5</v>
      </c>
      <c r="I417" s="56">
        <v>0</v>
      </c>
      <c r="J417" s="56">
        <v>278</v>
      </c>
      <c r="K417" s="56">
        <v>0</v>
      </c>
      <c r="L417" s="56">
        <v>1199202.3</v>
      </c>
      <c r="M417" s="56">
        <v>103681830.82</v>
      </c>
      <c r="N417" s="56">
        <v>1393032596.9</v>
      </c>
      <c r="O417" s="56">
        <v>174</v>
      </c>
      <c r="P417" s="56">
        <v>0</v>
      </c>
      <c r="Q417" s="56">
        <v>0</v>
      </c>
      <c r="R417" s="56">
        <v>1</v>
      </c>
      <c r="S417" s="56">
        <v>0</v>
      </c>
      <c r="T417" s="55" t="s">
        <v>1152</v>
      </c>
      <c r="U417" s="55" t="s">
        <v>1145</v>
      </c>
      <c r="V417" s="55" t="s">
        <v>1153</v>
      </c>
      <c r="W417" s="55" t="s">
        <v>1147</v>
      </c>
      <c r="X417" s="55" t="s">
        <v>1154</v>
      </c>
      <c r="Y417" s="55" t="s">
        <v>1281</v>
      </c>
      <c r="Z417" s="55" t="s">
        <v>1193</v>
      </c>
    </row>
    <row r="418" spans="1:26">
      <c r="A418" s="55" t="s">
        <v>962</v>
      </c>
      <c r="B418" s="55" t="s">
        <v>272</v>
      </c>
      <c r="C418" s="55" t="s">
        <v>1142</v>
      </c>
      <c r="D418" s="55" t="s">
        <v>1143</v>
      </c>
      <c r="E418" s="55" t="s">
        <v>1143</v>
      </c>
      <c r="F418" s="55" t="s">
        <v>73</v>
      </c>
      <c r="G418" s="56">
        <v>1</v>
      </c>
      <c r="H418" s="56">
        <v>1</v>
      </c>
      <c r="I418" s="56">
        <v>0</v>
      </c>
      <c r="J418" s="56">
        <v>5</v>
      </c>
      <c r="K418" s="56">
        <v>0</v>
      </c>
      <c r="L418" s="56">
        <v>41720000</v>
      </c>
      <c r="M418" s="56">
        <v>440950.61</v>
      </c>
      <c r="N418" s="56">
        <v>8819012.16</v>
      </c>
      <c r="O418" s="56">
        <v>70</v>
      </c>
      <c r="P418" s="56">
        <v>0</v>
      </c>
      <c r="Q418" s="56">
        <v>0</v>
      </c>
      <c r="R418" s="56">
        <v>0</v>
      </c>
      <c r="S418" s="56">
        <v>0</v>
      </c>
      <c r="T418" s="55" t="s">
        <v>1144</v>
      </c>
      <c r="U418" s="55" t="s">
        <v>1145</v>
      </c>
      <c r="V418" s="55" t="s">
        <v>1146</v>
      </c>
      <c r="W418" s="55" t="s">
        <v>1158</v>
      </c>
      <c r="X418" s="55" t="s">
        <v>1163</v>
      </c>
      <c r="Y418" s="55" t="s">
        <v>1345</v>
      </c>
      <c r="Z418" s="55" t="s">
        <v>1211</v>
      </c>
    </row>
    <row r="419" spans="1:26">
      <c r="A419" s="55" t="s">
        <v>963</v>
      </c>
      <c r="B419" s="55" t="s">
        <v>272</v>
      </c>
      <c r="C419" s="55" t="s">
        <v>1142</v>
      </c>
      <c r="D419" s="55" t="s">
        <v>1143</v>
      </c>
      <c r="E419" s="55" t="s">
        <v>1143</v>
      </c>
      <c r="F419" s="55" t="s">
        <v>73</v>
      </c>
      <c r="G419" s="56">
        <v>1</v>
      </c>
      <c r="H419" s="56">
        <v>1</v>
      </c>
      <c r="I419" s="56">
        <v>0</v>
      </c>
      <c r="J419" s="56">
        <v>18</v>
      </c>
      <c r="K419" s="56">
        <v>0</v>
      </c>
      <c r="L419" s="56">
        <v>400770.32</v>
      </c>
      <c r="M419" s="56">
        <v>601865.37</v>
      </c>
      <c r="N419" s="56">
        <v>400770.32</v>
      </c>
      <c r="O419" s="56">
        <v>55</v>
      </c>
      <c r="P419" s="56">
        <v>0</v>
      </c>
      <c r="Q419" s="56">
        <v>0</v>
      </c>
      <c r="R419" s="56">
        <v>0</v>
      </c>
      <c r="S419" s="56">
        <v>0</v>
      </c>
      <c r="T419" s="55" t="s">
        <v>1157</v>
      </c>
      <c r="U419" s="55" t="s">
        <v>1145</v>
      </c>
      <c r="V419" s="55" t="s">
        <v>1153</v>
      </c>
      <c r="W419" s="55" t="s">
        <v>1168</v>
      </c>
      <c r="X419" s="55" t="s">
        <v>1154</v>
      </c>
      <c r="Y419" s="55" t="s">
        <v>1346</v>
      </c>
      <c r="Z419" s="55" t="s">
        <v>1261</v>
      </c>
    </row>
    <row r="420" spans="1:26">
      <c r="A420" s="55" t="s">
        <v>964</v>
      </c>
      <c r="B420" s="55" t="s">
        <v>272</v>
      </c>
      <c r="C420" s="55" t="s">
        <v>1142</v>
      </c>
      <c r="D420" s="55" t="s">
        <v>1143</v>
      </c>
      <c r="E420" s="55" t="s">
        <v>1143</v>
      </c>
      <c r="F420" s="55" t="s">
        <v>73</v>
      </c>
      <c r="G420" s="56">
        <v>1</v>
      </c>
      <c r="H420" s="56">
        <v>1</v>
      </c>
      <c r="I420" s="56">
        <v>0</v>
      </c>
      <c r="J420" s="56">
        <v>19</v>
      </c>
      <c r="K420" s="56">
        <v>0</v>
      </c>
      <c r="L420" s="56">
        <v>608545800</v>
      </c>
      <c r="M420" s="56">
        <v>60248195.91</v>
      </c>
      <c r="N420" s="56">
        <v>1106973602.78</v>
      </c>
      <c r="O420" s="56">
        <v>206</v>
      </c>
      <c r="P420" s="56">
        <v>0</v>
      </c>
      <c r="Q420" s="56">
        <v>0</v>
      </c>
      <c r="R420" s="56">
        <v>0</v>
      </c>
      <c r="S420" s="56">
        <v>0</v>
      </c>
      <c r="T420" s="55" t="s">
        <v>1157</v>
      </c>
      <c r="U420" s="55" t="s">
        <v>1145</v>
      </c>
      <c r="V420" s="55" t="s">
        <v>1153</v>
      </c>
      <c r="W420" s="55" t="s">
        <v>1168</v>
      </c>
      <c r="X420" s="55" t="s">
        <v>1154</v>
      </c>
      <c r="Y420" s="55" t="s">
        <v>1155</v>
      </c>
      <c r="Z420" s="55" t="s">
        <v>1226</v>
      </c>
    </row>
    <row r="421" spans="1:26">
      <c r="A421" s="55" t="s">
        <v>965</v>
      </c>
      <c r="B421" s="55" t="s">
        <v>546</v>
      </c>
      <c r="C421" s="55" t="s">
        <v>1151</v>
      </c>
      <c r="D421" s="55" t="s">
        <v>87</v>
      </c>
      <c r="E421" s="55" t="s">
        <v>87</v>
      </c>
      <c r="F421" s="55" t="s">
        <v>75</v>
      </c>
      <c r="G421" s="56">
        <v>5</v>
      </c>
      <c r="H421" s="56">
        <v>5</v>
      </c>
      <c r="I421" s="56">
        <v>2330</v>
      </c>
      <c r="J421" s="56">
        <v>3</v>
      </c>
      <c r="K421" s="56">
        <v>0</v>
      </c>
      <c r="L421" s="56">
        <v>558750000</v>
      </c>
      <c r="M421" s="56">
        <v>1490777.33</v>
      </c>
      <c r="N421" s="56">
        <v>30295315.63</v>
      </c>
      <c r="O421" s="56">
        <v>175</v>
      </c>
      <c r="P421" s="56">
        <v>0</v>
      </c>
      <c r="Q421" s="56">
        <v>0</v>
      </c>
      <c r="R421" s="56">
        <v>1</v>
      </c>
      <c r="S421" s="56">
        <v>1</v>
      </c>
      <c r="T421" s="55" t="s">
        <v>1144</v>
      </c>
      <c r="U421" s="55" t="s">
        <v>1145</v>
      </c>
      <c r="V421" s="55" t="s">
        <v>1153</v>
      </c>
      <c r="W421" s="55" t="s">
        <v>1158</v>
      </c>
      <c r="X421" s="55" t="s">
        <v>1205</v>
      </c>
      <c r="Y421" s="55" t="s">
        <v>1347</v>
      </c>
      <c r="Z421" s="55" t="s">
        <v>1211</v>
      </c>
    </row>
    <row r="422" spans="1:26">
      <c r="A422" s="55" t="s">
        <v>966</v>
      </c>
      <c r="B422" s="55" t="s">
        <v>272</v>
      </c>
      <c r="C422" s="55" t="s">
        <v>1142</v>
      </c>
      <c r="D422" s="55" t="s">
        <v>1143</v>
      </c>
      <c r="E422" s="55" t="s">
        <v>1143</v>
      </c>
      <c r="F422" s="55" t="s">
        <v>73</v>
      </c>
      <c r="G422" s="56">
        <v>1</v>
      </c>
      <c r="H422" s="56">
        <v>1</v>
      </c>
      <c r="I422" s="56">
        <v>0</v>
      </c>
      <c r="J422" s="56">
        <v>2</v>
      </c>
      <c r="K422" s="56">
        <v>0</v>
      </c>
      <c r="L422" s="56">
        <v>160920000</v>
      </c>
      <c r="M422" s="56">
        <v>1001498.71</v>
      </c>
      <c r="N422" s="56">
        <v>20029974.12</v>
      </c>
      <c r="O422" s="56">
        <v>194</v>
      </c>
      <c r="P422" s="56">
        <v>0</v>
      </c>
      <c r="Q422" s="56">
        <v>0</v>
      </c>
      <c r="R422" s="56">
        <v>0</v>
      </c>
      <c r="S422" s="56">
        <v>0</v>
      </c>
      <c r="T422" s="55" t="s">
        <v>1173</v>
      </c>
      <c r="U422" s="55" t="s">
        <v>1145</v>
      </c>
      <c r="V422" s="55" t="s">
        <v>1146</v>
      </c>
      <c r="W422" s="55" t="s">
        <v>1180</v>
      </c>
      <c r="X422" s="55" t="s">
        <v>1154</v>
      </c>
      <c r="Y422" s="55" t="s">
        <v>1347</v>
      </c>
      <c r="Z422" s="55" t="s">
        <v>1166</v>
      </c>
    </row>
    <row r="423" spans="1:26">
      <c r="A423" s="55" t="s">
        <v>967</v>
      </c>
      <c r="B423" s="55" t="s">
        <v>272</v>
      </c>
      <c r="C423" s="55" t="s">
        <v>1142</v>
      </c>
      <c r="D423" s="55" t="s">
        <v>1143</v>
      </c>
      <c r="E423" s="55" t="s">
        <v>1143</v>
      </c>
      <c r="F423" s="55" t="s">
        <v>73</v>
      </c>
      <c r="G423" s="56">
        <v>1</v>
      </c>
      <c r="H423" s="56">
        <v>1</v>
      </c>
      <c r="I423" s="56">
        <v>0</v>
      </c>
      <c r="J423" s="56">
        <v>3</v>
      </c>
      <c r="K423" s="56">
        <v>0</v>
      </c>
      <c r="L423" s="56">
        <v>193700000</v>
      </c>
      <c r="M423" s="56">
        <v>16921.8</v>
      </c>
      <c r="N423" s="56">
        <v>338435.9</v>
      </c>
      <c r="O423" s="56">
        <v>76</v>
      </c>
      <c r="P423" s="56">
        <v>0</v>
      </c>
      <c r="Q423" s="56">
        <v>0</v>
      </c>
      <c r="R423" s="56">
        <v>0</v>
      </c>
      <c r="S423" s="56">
        <v>0</v>
      </c>
      <c r="T423" s="55" t="s">
        <v>1173</v>
      </c>
      <c r="U423" s="55" t="s">
        <v>1145</v>
      </c>
      <c r="V423" s="55" t="s">
        <v>1232</v>
      </c>
      <c r="W423" s="55" t="s">
        <v>1147</v>
      </c>
      <c r="X423" s="55" t="s">
        <v>1154</v>
      </c>
      <c r="Y423" s="55" t="s">
        <v>1347</v>
      </c>
      <c r="Z423" s="55" t="s">
        <v>1166</v>
      </c>
    </row>
    <row r="424" spans="1:26">
      <c r="A424" s="55" t="s">
        <v>968</v>
      </c>
      <c r="B424" s="55" t="s">
        <v>272</v>
      </c>
      <c r="C424" s="55" t="s">
        <v>1142</v>
      </c>
      <c r="D424" s="55" t="s">
        <v>1143</v>
      </c>
      <c r="E424" s="55" t="s">
        <v>1143</v>
      </c>
      <c r="F424" s="55" t="s">
        <v>73</v>
      </c>
      <c r="G424" s="56">
        <v>1</v>
      </c>
      <c r="H424" s="56">
        <v>1</v>
      </c>
      <c r="I424" s="56">
        <v>0</v>
      </c>
      <c r="J424" s="56">
        <v>4</v>
      </c>
      <c r="K424" s="56">
        <v>0</v>
      </c>
      <c r="L424" s="56">
        <v>24585000</v>
      </c>
      <c r="M424" s="56">
        <v>176107.54</v>
      </c>
      <c r="N424" s="56">
        <v>3522150.79</v>
      </c>
      <c r="O424" s="56">
        <v>32</v>
      </c>
      <c r="P424" s="56">
        <v>0</v>
      </c>
      <c r="Q424" s="56">
        <v>0</v>
      </c>
      <c r="R424" s="56">
        <v>0</v>
      </c>
      <c r="S424" s="56">
        <v>0</v>
      </c>
      <c r="T424" s="55" t="s">
        <v>1167</v>
      </c>
      <c r="U424" s="55" t="s">
        <v>1145</v>
      </c>
      <c r="V424" s="55" t="s">
        <v>1153</v>
      </c>
      <c r="W424" s="55" t="s">
        <v>1272</v>
      </c>
      <c r="X424" s="55" t="s">
        <v>1154</v>
      </c>
      <c r="Y424" s="55" t="s">
        <v>1276</v>
      </c>
      <c r="Z424" s="55" t="s">
        <v>1252</v>
      </c>
    </row>
    <row r="425" spans="1:26">
      <c r="A425" s="55" t="s">
        <v>969</v>
      </c>
      <c r="B425" s="55" t="s">
        <v>272</v>
      </c>
      <c r="C425" s="55" t="s">
        <v>1142</v>
      </c>
      <c r="D425" s="55" t="s">
        <v>1143</v>
      </c>
      <c r="E425" s="55" t="s">
        <v>1143</v>
      </c>
      <c r="F425" s="55" t="s">
        <v>73</v>
      </c>
      <c r="G425" s="56">
        <v>1</v>
      </c>
      <c r="H425" s="56">
        <v>1</v>
      </c>
      <c r="I425" s="56">
        <v>0</v>
      </c>
      <c r="J425" s="56">
        <v>10</v>
      </c>
      <c r="K425" s="56">
        <v>0</v>
      </c>
      <c r="L425" s="56">
        <v>28310000</v>
      </c>
      <c r="M425" s="56">
        <v>11681562.55</v>
      </c>
      <c r="N425" s="56">
        <v>302394849.68</v>
      </c>
      <c r="O425" s="56">
        <v>86</v>
      </c>
      <c r="P425" s="56">
        <v>0</v>
      </c>
      <c r="Q425" s="56">
        <v>0</v>
      </c>
      <c r="R425" s="56">
        <v>0</v>
      </c>
      <c r="S425" s="56">
        <v>0</v>
      </c>
      <c r="T425" s="55" t="s">
        <v>1157</v>
      </c>
      <c r="U425" s="55" t="s">
        <v>1165</v>
      </c>
      <c r="V425" s="55" t="s">
        <v>1153</v>
      </c>
      <c r="W425" s="55" t="s">
        <v>1180</v>
      </c>
      <c r="X425" s="55" t="s">
        <v>1163</v>
      </c>
      <c r="Y425" s="55" t="s">
        <v>1347</v>
      </c>
      <c r="Z425" s="55" t="s">
        <v>1156</v>
      </c>
    </row>
    <row r="426" spans="1:26">
      <c r="A426" s="55" t="s">
        <v>970</v>
      </c>
      <c r="B426" s="55" t="s">
        <v>272</v>
      </c>
      <c r="C426" s="55" t="s">
        <v>1142</v>
      </c>
      <c r="D426" s="55" t="s">
        <v>1143</v>
      </c>
      <c r="E426" s="55" t="s">
        <v>1143</v>
      </c>
      <c r="F426" s="55" t="s">
        <v>73</v>
      </c>
      <c r="G426" s="56">
        <v>1</v>
      </c>
      <c r="H426" s="56">
        <v>1</v>
      </c>
      <c r="I426" s="56">
        <v>0</v>
      </c>
      <c r="J426" s="56">
        <v>2</v>
      </c>
      <c r="K426" s="56">
        <v>0</v>
      </c>
      <c r="L426" s="56">
        <v>16390000</v>
      </c>
      <c r="M426" s="56">
        <v>257.5</v>
      </c>
      <c r="N426" s="56">
        <v>5150</v>
      </c>
      <c r="O426" s="56">
        <v>49</v>
      </c>
      <c r="P426" s="56">
        <v>0</v>
      </c>
      <c r="Q426" s="56">
        <v>0</v>
      </c>
      <c r="R426" s="56">
        <v>0</v>
      </c>
      <c r="S426" s="56">
        <v>0</v>
      </c>
      <c r="T426" s="55" t="s">
        <v>1157</v>
      </c>
      <c r="U426" s="55" t="s">
        <v>1145</v>
      </c>
      <c r="V426" s="55" t="s">
        <v>1153</v>
      </c>
      <c r="W426" s="55" t="s">
        <v>1168</v>
      </c>
      <c r="X426" s="55" t="s">
        <v>1154</v>
      </c>
      <c r="Y426" s="55" t="s">
        <v>1348</v>
      </c>
      <c r="Z426" s="55" t="s">
        <v>1182</v>
      </c>
    </row>
    <row r="427" spans="1:26">
      <c r="A427" s="55" t="s">
        <v>971</v>
      </c>
      <c r="B427" s="55" t="s">
        <v>272</v>
      </c>
      <c r="C427" s="55" t="s">
        <v>1142</v>
      </c>
      <c r="D427" s="55" t="s">
        <v>1143</v>
      </c>
      <c r="E427" s="55" t="s">
        <v>1143</v>
      </c>
      <c r="F427" s="55" t="s">
        <v>73</v>
      </c>
      <c r="G427" s="56">
        <v>1</v>
      </c>
      <c r="H427" s="56">
        <v>1</v>
      </c>
      <c r="I427" s="56">
        <v>0</v>
      </c>
      <c r="J427" s="56">
        <v>21</v>
      </c>
      <c r="K427" s="56">
        <v>0</v>
      </c>
      <c r="L427" s="56">
        <v>5809867.57</v>
      </c>
      <c r="M427" s="56">
        <v>865363.42</v>
      </c>
      <c r="N427" s="56">
        <v>5809867.57</v>
      </c>
      <c r="O427" s="56">
        <v>22</v>
      </c>
      <c r="P427" s="56">
        <v>0</v>
      </c>
      <c r="Q427" s="56">
        <v>0</v>
      </c>
      <c r="R427" s="56">
        <v>0</v>
      </c>
      <c r="S427" s="56">
        <v>0</v>
      </c>
      <c r="T427" s="55" t="s">
        <v>1157</v>
      </c>
      <c r="U427" s="55" t="s">
        <v>1145</v>
      </c>
      <c r="V427" s="55" t="s">
        <v>1153</v>
      </c>
      <c r="W427" s="55" t="s">
        <v>1168</v>
      </c>
      <c r="X427" s="55" t="s">
        <v>1154</v>
      </c>
      <c r="Y427" s="55" t="s">
        <v>1349</v>
      </c>
      <c r="Z427" s="55" t="s">
        <v>1185</v>
      </c>
    </row>
    <row r="428" spans="1:26">
      <c r="A428" s="55" t="s">
        <v>972</v>
      </c>
      <c r="B428" s="55" t="s">
        <v>546</v>
      </c>
      <c r="C428" s="55" t="s">
        <v>1151</v>
      </c>
      <c r="D428" s="55" t="s">
        <v>87</v>
      </c>
      <c r="E428" s="55" t="s">
        <v>87</v>
      </c>
      <c r="F428" s="55" t="s">
        <v>75</v>
      </c>
      <c r="G428" s="56">
        <v>5</v>
      </c>
      <c r="H428" s="56">
        <v>5</v>
      </c>
      <c r="I428" s="56">
        <v>624</v>
      </c>
      <c r="J428" s="56">
        <v>11</v>
      </c>
      <c r="K428" s="56">
        <v>0</v>
      </c>
      <c r="L428" s="56">
        <v>0</v>
      </c>
      <c r="M428" s="56">
        <v>4599404.9</v>
      </c>
      <c r="N428" s="56">
        <v>99330315.61</v>
      </c>
      <c r="O428" s="56">
        <v>33</v>
      </c>
      <c r="P428" s="56">
        <v>1</v>
      </c>
      <c r="Q428" s="56">
        <v>0</v>
      </c>
      <c r="R428" s="56">
        <v>1</v>
      </c>
      <c r="S428" s="56">
        <v>1</v>
      </c>
      <c r="T428" s="55" t="s">
        <v>1157</v>
      </c>
      <c r="U428" s="55" t="s">
        <v>1145</v>
      </c>
      <c r="V428" s="55" t="s">
        <v>1146</v>
      </c>
      <c r="W428" s="55" t="s">
        <v>1168</v>
      </c>
      <c r="X428" s="55" t="s">
        <v>1262</v>
      </c>
      <c r="Y428" s="55" t="s">
        <v>1350</v>
      </c>
      <c r="Z428" s="55" t="s">
        <v>1193</v>
      </c>
    </row>
    <row r="429" spans="1:26">
      <c r="A429" s="55" t="s">
        <v>973</v>
      </c>
      <c r="B429" s="55" t="s">
        <v>272</v>
      </c>
      <c r="C429" s="55" t="s">
        <v>1142</v>
      </c>
      <c r="D429" s="55" t="s">
        <v>1143</v>
      </c>
      <c r="E429" s="55" t="s">
        <v>1143</v>
      </c>
      <c r="F429" s="55" t="s">
        <v>73</v>
      </c>
      <c r="G429" s="56">
        <v>1</v>
      </c>
      <c r="H429" s="56">
        <v>1</v>
      </c>
      <c r="I429" s="56">
        <v>0</v>
      </c>
      <c r="J429" s="56">
        <v>1</v>
      </c>
      <c r="K429" s="56">
        <v>0</v>
      </c>
      <c r="L429" s="56">
        <v>0</v>
      </c>
      <c r="M429" s="56">
        <v>7958651.61</v>
      </c>
      <c r="N429" s="56">
        <v>83987886.08</v>
      </c>
      <c r="O429" s="56">
        <v>75</v>
      </c>
      <c r="P429" s="56">
        <v>1</v>
      </c>
      <c r="Q429" s="56">
        <v>0</v>
      </c>
      <c r="R429" s="56">
        <v>0</v>
      </c>
      <c r="S429" s="56">
        <v>0</v>
      </c>
      <c r="T429" s="55" t="s">
        <v>1167</v>
      </c>
      <c r="U429" s="55" t="s">
        <v>1145</v>
      </c>
      <c r="V429" s="55" t="s">
        <v>1153</v>
      </c>
      <c r="W429" s="55" t="s">
        <v>1168</v>
      </c>
      <c r="X429" s="55" t="s">
        <v>1159</v>
      </c>
      <c r="Y429" s="55" t="s">
        <v>1256</v>
      </c>
      <c r="Z429" s="55" t="s">
        <v>1257</v>
      </c>
    </row>
    <row r="430" spans="1:26">
      <c r="A430" s="55" t="s">
        <v>974</v>
      </c>
      <c r="B430" s="55" t="s">
        <v>272</v>
      </c>
      <c r="C430" s="55" t="s">
        <v>1142</v>
      </c>
      <c r="D430" s="55" t="s">
        <v>1143</v>
      </c>
      <c r="E430" s="55" t="s">
        <v>1143</v>
      </c>
      <c r="F430" s="55" t="s">
        <v>73</v>
      </c>
      <c r="G430" s="56">
        <v>1</v>
      </c>
      <c r="H430" s="56">
        <v>1</v>
      </c>
      <c r="I430" s="56">
        <v>0</v>
      </c>
      <c r="J430" s="56">
        <v>3</v>
      </c>
      <c r="K430" s="56">
        <v>0</v>
      </c>
      <c r="L430" s="56">
        <v>409750000</v>
      </c>
      <c r="M430" s="56">
        <v>3170129.64</v>
      </c>
      <c r="N430" s="56">
        <v>63402592.87</v>
      </c>
      <c r="O430" s="56">
        <v>117</v>
      </c>
      <c r="P430" s="56">
        <v>0</v>
      </c>
      <c r="Q430" s="56">
        <v>0</v>
      </c>
      <c r="R430" s="56">
        <v>0</v>
      </c>
      <c r="S430" s="56">
        <v>0</v>
      </c>
      <c r="T430" s="55" t="s">
        <v>1152</v>
      </c>
      <c r="U430" s="55" t="s">
        <v>1145</v>
      </c>
      <c r="V430" s="55" t="s">
        <v>1146</v>
      </c>
      <c r="W430" s="55" t="s">
        <v>1168</v>
      </c>
      <c r="X430" s="55" t="s">
        <v>1159</v>
      </c>
      <c r="Y430" s="55" t="s">
        <v>1216</v>
      </c>
      <c r="Z430" s="55" t="s">
        <v>1238</v>
      </c>
    </row>
    <row r="431" spans="1:26">
      <c r="A431" s="55" t="s">
        <v>975</v>
      </c>
      <c r="B431" s="55" t="s">
        <v>272</v>
      </c>
      <c r="C431" s="55" t="s">
        <v>1142</v>
      </c>
      <c r="D431" s="55" t="s">
        <v>1143</v>
      </c>
      <c r="E431" s="55" t="s">
        <v>1143</v>
      </c>
      <c r="F431" s="55" t="s">
        <v>73</v>
      </c>
      <c r="G431" s="56">
        <v>1</v>
      </c>
      <c r="H431" s="56">
        <v>1</v>
      </c>
      <c r="I431" s="56">
        <v>0</v>
      </c>
      <c r="J431" s="56">
        <v>1</v>
      </c>
      <c r="K431" s="56">
        <v>0</v>
      </c>
      <c r="L431" s="56">
        <v>14900000</v>
      </c>
      <c r="M431" s="56">
        <v>32613.62</v>
      </c>
      <c r="N431" s="56">
        <v>652272.48</v>
      </c>
      <c r="O431" s="56">
        <v>2</v>
      </c>
      <c r="P431" s="56">
        <v>0</v>
      </c>
      <c r="Q431" s="56">
        <v>0</v>
      </c>
      <c r="R431" s="56">
        <v>0</v>
      </c>
      <c r="S431" s="56">
        <v>0</v>
      </c>
      <c r="T431" s="55" t="s">
        <v>1157</v>
      </c>
      <c r="U431" s="55" t="s">
        <v>1145</v>
      </c>
      <c r="V431" s="55" t="s">
        <v>1153</v>
      </c>
      <c r="W431" s="55" t="s">
        <v>1147</v>
      </c>
      <c r="X431" s="55" t="s">
        <v>1154</v>
      </c>
      <c r="Y431" s="55" t="s">
        <v>1351</v>
      </c>
      <c r="Z431" s="55" t="s">
        <v>1261</v>
      </c>
    </row>
    <row r="432" spans="1:26">
      <c r="A432" s="55" t="s">
        <v>976</v>
      </c>
      <c r="B432" s="55" t="s">
        <v>272</v>
      </c>
      <c r="C432" s="55" t="s">
        <v>1142</v>
      </c>
      <c r="D432" s="55" t="s">
        <v>1143</v>
      </c>
      <c r="E432" s="55" t="s">
        <v>1143</v>
      </c>
      <c r="F432" s="55" t="s">
        <v>73</v>
      </c>
      <c r="G432" s="56">
        <v>1</v>
      </c>
      <c r="H432" s="56">
        <v>1</v>
      </c>
      <c r="I432" s="56">
        <v>0</v>
      </c>
      <c r="J432" s="56">
        <v>2</v>
      </c>
      <c r="K432" s="56">
        <v>0</v>
      </c>
      <c r="L432" s="56">
        <v>25330000</v>
      </c>
      <c r="M432" s="56">
        <v>0</v>
      </c>
      <c r="N432" s="56">
        <v>0</v>
      </c>
      <c r="O432" s="56">
        <v>33</v>
      </c>
      <c r="P432" s="56">
        <v>0</v>
      </c>
      <c r="Q432" s="56">
        <v>0</v>
      </c>
      <c r="R432" s="56">
        <v>0</v>
      </c>
      <c r="S432" s="56">
        <v>0</v>
      </c>
      <c r="T432" s="55" t="s">
        <v>1157</v>
      </c>
      <c r="U432" s="55" t="s">
        <v>1145</v>
      </c>
      <c r="V432" s="55" t="s">
        <v>1153</v>
      </c>
      <c r="W432" s="55" t="s">
        <v>1168</v>
      </c>
      <c r="X432" s="55" t="s">
        <v>1154</v>
      </c>
      <c r="Y432" s="55" t="s">
        <v>1178</v>
      </c>
      <c r="Z432" s="55" t="s">
        <v>1150</v>
      </c>
    </row>
    <row r="433" spans="1:26">
      <c r="A433" s="55" t="s">
        <v>977</v>
      </c>
      <c r="B433" s="55" t="s">
        <v>272</v>
      </c>
      <c r="C433" s="55" t="s">
        <v>1142</v>
      </c>
      <c r="D433" s="55" t="s">
        <v>1143</v>
      </c>
      <c r="E433" s="55" t="s">
        <v>1143</v>
      </c>
      <c r="F433" s="55" t="s">
        <v>73</v>
      </c>
      <c r="G433" s="56">
        <v>1</v>
      </c>
      <c r="H433" s="56">
        <v>1</v>
      </c>
      <c r="I433" s="56">
        <v>0</v>
      </c>
      <c r="J433" s="56">
        <v>27</v>
      </c>
      <c r="K433" s="56">
        <v>0</v>
      </c>
      <c r="L433" s="56">
        <v>0</v>
      </c>
      <c r="M433" s="56">
        <v>1189326.2</v>
      </c>
      <c r="N433" s="56">
        <v>6181530.24</v>
      </c>
      <c r="O433" s="56">
        <v>20</v>
      </c>
      <c r="P433" s="56">
        <v>1</v>
      </c>
      <c r="Q433" s="56">
        <v>0</v>
      </c>
      <c r="R433" s="56">
        <v>0</v>
      </c>
      <c r="S433" s="56">
        <v>0</v>
      </c>
      <c r="T433" s="55" t="s">
        <v>1162</v>
      </c>
      <c r="U433" s="55" t="s">
        <v>1145</v>
      </c>
      <c r="V433" s="55" t="s">
        <v>1153</v>
      </c>
      <c r="W433" s="55" t="s">
        <v>1168</v>
      </c>
      <c r="X433" s="55" t="s">
        <v>1159</v>
      </c>
      <c r="Y433" s="55" t="s">
        <v>1352</v>
      </c>
      <c r="Z433" s="55" t="s">
        <v>1353</v>
      </c>
    </row>
    <row r="434" spans="1:26">
      <c r="A434" s="55" t="s">
        <v>978</v>
      </c>
      <c r="B434" s="55" t="s">
        <v>272</v>
      </c>
      <c r="C434" s="55" t="s">
        <v>1142</v>
      </c>
      <c r="D434" s="55" t="s">
        <v>1143</v>
      </c>
      <c r="E434" s="55" t="s">
        <v>1143</v>
      </c>
      <c r="F434" s="55" t="s">
        <v>73</v>
      </c>
      <c r="G434" s="56">
        <v>1</v>
      </c>
      <c r="H434" s="56">
        <v>1</v>
      </c>
      <c r="I434" s="56">
        <v>0</v>
      </c>
      <c r="J434" s="56">
        <v>56</v>
      </c>
      <c r="K434" s="56">
        <v>0</v>
      </c>
      <c r="L434" s="56">
        <v>52150000</v>
      </c>
      <c r="M434" s="56">
        <v>1098064.92</v>
      </c>
      <c r="N434" s="56">
        <v>21961298.44</v>
      </c>
      <c r="O434" s="56">
        <v>51</v>
      </c>
      <c r="P434" s="56">
        <v>0</v>
      </c>
      <c r="Q434" s="56">
        <v>0</v>
      </c>
      <c r="R434" s="56">
        <v>0</v>
      </c>
      <c r="S434" s="56">
        <v>0</v>
      </c>
      <c r="T434" s="55" t="s">
        <v>1162</v>
      </c>
      <c r="U434" s="55" t="s">
        <v>1145</v>
      </c>
      <c r="V434" s="55" t="s">
        <v>1153</v>
      </c>
      <c r="W434" s="55" t="s">
        <v>1147</v>
      </c>
      <c r="X434" s="55" t="s">
        <v>1148</v>
      </c>
      <c r="Y434" s="55" t="s">
        <v>1354</v>
      </c>
      <c r="Z434" s="55" t="s">
        <v>1230</v>
      </c>
    </row>
    <row r="435" spans="1:26">
      <c r="A435" s="55" t="s">
        <v>979</v>
      </c>
      <c r="B435" s="55" t="s">
        <v>272</v>
      </c>
      <c r="C435" s="55" t="s">
        <v>1142</v>
      </c>
      <c r="D435" s="55" t="s">
        <v>1143</v>
      </c>
      <c r="E435" s="55" t="s">
        <v>1143</v>
      </c>
      <c r="F435" s="55" t="s">
        <v>73</v>
      </c>
      <c r="G435" s="56">
        <v>1</v>
      </c>
      <c r="H435" s="56">
        <v>1</v>
      </c>
      <c r="I435" s="56">
        <v>0</v>
      </c>
      <c r="J435" s="56">
        <v>4</v>
      </c>
      <c r="K435" s="56">
        <v>0</v>
      </c>
      <c r="L435" s="56">
        <v>505487.48</v>
      </c>
      <c r="M435" s="56">
        <v>204065.83</v>
      </c>
      <c r="N435" s="56">
        <v>505487.48</v>
      </c>
      <c r="O435" s="56">
        <v>11</v>
      </c>
      <c r="P435" s="56">
        <v>0</v>
      </c>
      <c r="Q435" s="56">
        <v>0</v>
      </c>
      <c r="R435" s="56">
        <v>0</v>
      </c>
      <c r="S435" s="56">
        <v>0</v>
      </c>
      <c r="T435" s="55" t="s">
        <v>1162</v>
      </c>
      <c r="U435" s="55" t="s">
        <v>1145</v>
      </c>
      <c r="V435" s="55" t="s">
        <v>1153</v>
      </c>
      <c r="W435" s="55" t="s">
        <v>1168</v>
      </c>
      <c r="X435" s="55" t="s">
        <v>1221</v>
      </c>
      <c r="Y435" s="55" t="s">
        <v>1355</v>
      </c>
      <c r="Z435" s="55" t="s">
        <v>1238</v>
      </c>
    </row>
    <row r="436" spans="1:26">
      <c r="A436" s="55" t="s">
        <v>980</v>
      </c>
      <c r="B436" s="55" t="s">
        <v>272</v>
      </c>
      <c r="C436" s="55" t="s">
        <v>1142</v>
      </c>
      <c r="D436" s="55" t="s">
        <v>1143</v>
      </c>
      <c r="E436" s="55" t="s">
        <v>1143</v>
      </c>
      <c r="F436" s="55" t="s">
        <v>73</v>
      </c>
      <c r="G436" s="56">
        <v>1</v>
      </c>
      <c r="H436" s="56">
        <v>1</v>
      </c>
      <c r="I436" s="56">
        <v>0</v>
      </c>
      <c r="J436" s="56">
        <v>16</v>
      </c>
      <c r="K436" s="56">
        <v>0</v>
      </c>
      <c r="L436" s="56">
        <v>26820000</v>
      </c>
      <c r="M436" s="56">
        <v>1024038.76</v>
      </c>
      <c r="N436" s="56">
        <v>20480775.27</v>
      </c>
      <c r="O436" s="56">
        <v>54</v>
      </c>
      <c r="P436" s="56">
        <v>0</v>
      </c>
      <c r="Q436" s="56">
        <v>0</v>
      </c>
      <c r="R436" s="56">
        <v>0</v>
      </c>
      <c r="S436" s="56">
        <v>0</v>
      </c>
      <c r="T436" s="55" t="s">
        <v>1157</v>
      </c>
      <c r="U436" s="55" t="s">
        <v>1145</v>
      </c>
      <c r="V436" s="55" t="s">
        <v>1153</v>
      </c>
      <c r="W436" s="55" t="s">
        <v>1147</v>
      </c>
      <c r="X436" s="55" t="s">
        <v>1154</v>
      </c>
      <c r="Y436" s="55" t="s">
        <v>1356</v>
      </c>
      <c r="Z436" s="55" t="s">
        <v>1250</v>
      </c>
    </row>
    <row r="437" spans="1:26">
      <c r="A437" s="55" t="s">
        <v>981</v>
      </c>
      <c r="B437" s="55" t="s">
        <v>546</v>
      </c>
      <c r="C437" s="55" t="s">
        <v>1151</v>
      </c>
      <c r="D437" s="55" t="s">
        <v>87</v>
      </c>
      <c r="E437" s="55" t="s">
        <v>87</v>
      </c>
      <c r="F437" s="55" t="s">
        <v>75</v>
      </c>
      <c r="G437" s="56">
        <v>5</v>
      </c>
      <c r="H437" s="56">
        <v>5</v>
      </c>
      <c r="I437" s="56">
        <v>2308</v>
      </c>
      <c r="J437" s="56">
        <v>4</v>
      </c>
      <c r="K437" s="56">
        <v>0</v>
      </c>
      <c r="L437" s="56">
        <v>0</v>
      </c>
      <c r="M437" s="56">
        <v>0</v>
      </c>
      <c r="N437" s="56">
        <v>7498048.98</v>
      </c>
      <c r="O437" s="56">
        <v>81</v>
      </c>
      <c r="P437" s="56">
        <v>1</v>
      </c>
      <c r="Q437" s="56">
        <v>0</v>
      </c>
      <c r="R437" s="56">
        <v>1</v>
      </c>
      <c r="S437" s="56">
        <v>1</v>
      </c>
      <c r="T437" s="55" t="s">
        <v>1167</v>
      </c>
      <c r="U437" s="55" t="s">
        <v>1165</v>
      </c>
      <c r="V437" s="55" t="s">
        <v>1146</v>
      </c>
      <c r="W437" s="55" t="s">
        <v>1147</v>
      </c>
      <c r="X437" s="55" t="s">
        <v>1159</v>
      </c>
      <c r="Y437" s="55" t="s">
        <v>1357</v>
      </c>
      <c r="Z437" s="55" t="s">
        <v>1156</v>
      </c>
    </row>
    <row r="438" spans="1:26">
      <c r="A438" s="55" t="s">
        <v>982</v>
      </c>
      <c r="B438" s="55" t="s">
        <v>546</v>
      </c>
      <c r="C438" s="55" t="s">
        <v>1151</v>
      </c>
      <c r="D438" s="55" t="s">
        <v>87</v>
      </c>
      <c r="E438" s="55" t="s">
        <v>87</v>
      </c>
      <c r="F438" s="55" t="s">
        <v>75</v>
      </c>
      <c r="G438" s="56">
        <v>5</v>
      </c>
      <c r="H438" s="56">
        <v>5</v>
      </c>
      <c r="I438" s="56">
        <v>1476</v>
      </c>
      <c r="J438" s="56">
        <v>10</v>
      </c>
      <c r="K438" s="56">
        <v>4</v>
      </c>
      <c r="L438" s="56">
        <v>5960000</v>
      </c>
      <c r="M438" s="56">
        <v>7728692.66</v>
      </c>
      <c r="N438" s="56">
        <v>121510926.65</v>
      </c>
      <c r="O438" s="56">
        <v>76</v>
      </c>
      <c r="P438" s="56">
        <v>0</v>
      </c>
      <c r="Q438" s="56">
        <v>0</v>
      </c>
      <c r="R438" s="56">
        <v>1</v>
      </c>
      <c r="S438" s="56">
        <v>1</v>
      </c>
      <c r="T438" s="55" t="s">
        <v>1144</v>
      </c>
      <c r="U438" s="55" t="s">
        <v>1145</v>
      </c>
      <c r="V438" s="55" t="s">
        <v>1146</v>
      </c>
      <c r="W438" s="55" t="s">
        <v>1180</v>
      </c>
      <c r="X438" s="55" t="s">
        <v>1159</v>
      </c>
      <c r="Y438" s="55" t="s">
        <v>1356</v>
      </c>
      <c r="Z438" s="55" t="s">
        <v>1164</v>
      </c>
    </row>
    <row r="439" spans="1:26">
      <c r="A439" s="55" t="s">
        <v>983</v>
      </c>
      <c r="B439" s="55" t="s">
        <v>272</v>
      </c>
      <c r="C439" s="55" t="s">
        <v>1187</v>
      </c>
      <c r="D439" s="55" t="s">
        <v>1188</v>
      </c>
      <c r="E439" s="55" t="s">
        <v>1188</v>
      </c>
      <c r="F439" s="55" t="s">
        <v>74</v>
      </c>
      <c r="G439" s="56">
        <v>2</v>
      </c>
      <c r="H439" s="56">
        <v>2</v>
      </c>
      <c r="I439" s="56">
        <v>73</v>
      </c>
      <c r="J439" s="56">
        <v>6</v>
      </c>
      <c r="K439" s="56">
        <v>1</v>
      </c>
      <c r="L439" s="56">
        <v>1062700.92</v>
      </c>
      <c r="M439" s="56">
        <v>755240.21</v>
      </c>
      <c r="N439" s="56">
        <v>1062700.92</v>
      </c>
      <c r="O439" s="56">
        <v>84</v>
      </c>
      <c r="P439" s="56">
        <v>0</v>
      </c>
      <c r="Q439" s="56">
        <v>0</v>
      </c>
      <c r="R439" s="56">
        <v>0</v>
      </c>
      <c r="S439" s="56">
        <v>1</v>
      </c>
      <c r="T439" s="55" t="s">
        <v>1152</v>
      </c>
      <c r="U439" s="55" t="s">
        <v>1145</v>
      </c>
      <c r="V439" s="55" t="s">
        <v>1153</v>
      </c>
      <c r="W439" s="55" t="s">
        <v>1168</v>
      </c>
      <c r="X439" s="55" t="s">
        <v>1275</v>
      </c>
      <c r="Y439" s="55" t="s">
        <v>1358</v>
      </c>
      <c r="Z439" s="55" t="s">
        <v>1179</v>
      </c>
    </row>
    <row r="440" spans="1:26">
      <c r="A440" s="55" t="s">
        <v>984</v>
      </c>
      <c r="B440" s="55" t="s">
        <v>272</v>
      </c>
      <c r="C440" s="55" t="s">
        <v>1142</v>
      </c>
      <c r="D440" s="55" t="s">
        <v>1143</v>
      </c>
      <c r="E440" s="55" t="s">
        <v>1143</v>
      </c>
      <c r="F440" s="55" t="s">
        <v>73</v>
      </c>
      <c r="G440" s="56">
        <v>1</v>
      </c>
      <c r="H440" s="56">
        <v>1</v>
      </c>
      <c r="I440" s="56">
        <v>0</v>
      </c>
      <c r="J440" s="56">
        <v>1</v>
      </c>
      <c r="K440" s="56">
        <v>0</v>
      </c>
      <c r="L440" s="56">
        <v>4470000</v>
      </c>
      <c r="M440" s="56">
        <v>0</v>
      </c>
      <c r="N440" s="56">
        <v>0</v>
      </c>
      <c r="O440" s="56">
        <v>28</v>
      </c>
      <c r="P440" s="56">
        <v>0</v>
      </c>
      <c r="Q440" s="56">
        <v>0</v>
      </c>
      <c r="R440" s="56">
        <v>0</v>
      </c>
      <c r="S440" s="56">
        <v>0</v>
      </c>
      <c r="T440" s="55" t="s">
        <v>1157</v>
      </c>
      <c r="U440" s="55" t="s">
        <v>1145</v>
      </c>
      <c r="V440" s="55" t="s">
        <v>1153</v>
      </c>
      <c r="W440" s="55" t="s">
        <v>1180</v>
      </c>
      <c r="X440" s="55" t="s">
        <v>1154</v>
      </c>
      <c r="Y440" s="55" t="s">
        <v>1359</v>
      </c>
      <c r="Z440" s="55" t="s">
        <v>1164</v>
      </c>
    </row>
    <row r="441" spans="1:26">
      <c r="A441" s="55" t="s">
        <v>985</v>
      </c>
      <c r="B441" s="55" t="s">
        <v>272</v>
      </c>
      <c r="C441" s="55" t="s">
        <v>1142</v>
      </c>
      <c r="D441" s="55" t="s">
        <v>1143</v>
      </c>
      <c r="E441" s="55" t="s">
        <v>1143</v>
      </c>
      <c r="F441" s="55" t="s">
        <v>73</v>
      </c>
      <c r="G441" s="56">
        <v>1</v>
      </c>
      <c r="H441" s="56">
        <v>1</v>
      </c>
      <c r="I441" s="56">
        <v>0</v>
      </c>
      <c r="J441" s="56">
        <v>34</v>
      </c>
      <c r="K441" s="56">
        <v>0</v>
      </c>
      <c r="L441" s="56">
        <v>268200000</v>
      </c>
      <c r="M441" s="56">
        <v>78214129.48999999</v>
      </c>
      <c r="N441" s="56">
        <v>8654234298.120001</v>
      </c>
      <c r="O441" s="56">
        <v>226</v>
      </c>
      <c r="P441" s="56">
        <v>0</v>
      </c>
      <c r="Q441" s="56">
        <v>0</v>
      </c>
      <c r="R441" s="56">
        <v>0</v>
      </c>
      <c r="S441" s="56">
        <v>0</v>
      </c>
      <c r="T441" s="55" t="s">
        <v>1144</v>
      </c>
      <c r="U441" s="55" t="s">
        <v>1145</v>
      </c>
      <c r="V441" s="55" t="s">
        <v>1153</v>
      </c>
      <c r="W441" s="55" t="s">
        <v>1168</v>
      </c>
      <c r="X441" s="55" t="s">
        <v>1154</v>
      </c>
      <c r="Y441" s="55" t="s">
        <v>1359</v>
      </c>
      <c r="Z441" s="55" t="s">
        <v>1185</v>
      </c>
    </row>
    <row r="442" spans="1:26">
      <c r="A442" s="55" t="s">
        <v>986</v>
      </c>
      <c r="B442" s="55" t="s">
        <v>272</v>
      </c>
      <c r="C442" s="55" t="s">
        <v>1142</v>
      </c>
      <c r="D442" s="55" t="s">
        <v>1143</v>
      </c>
      <c r="E442" s="55" t="s">
        <v>1143</v>
      </c>
      <c r="F442" s="55" t="s">
        <v>73</v>
      </c>
      <c r="G442" s="56">
        <v>1</v>
      </c>
      <c r="H442" s="56">
        <v>1</v>
      </c>
      <c r="I442" s="56">
        <v>0</v>
      </c>
      <c r="J442" s="56">
        <v>5</v>
      </c>
      <c r="K442" s="56">
        <v>0</v>
      </c>
      <c r="L442" s="56">
        <v>0</v>
      </c>
      <c r="M442" s="56">
        <v>372500</v>
      </c>
      <c r="N442" s="56">
        <v>63000000</v>
      </c>
      <c r="O442" s="56">
        <v>31</v>
      </c>
      <c r="P442" s="56">
        <v>1</v>
      </c>
      <c r="Q442" s="56">
        <v>0</v>
      </c>
      <c r="R442" s="56">
        <v>0</v>
      </c>
      <c r="S442" s="56">
        <v>0</v>
      </c>
      <c r="T442" s="55" t="s">
        <v>1173</v>
      </c>
      <c r="U442" s="55" t="s">
        <v>1165</v>
      </c>
      <c r="V442" s="55" t="s">
        <v>1146</v>
      </c>
      <c r="W442" s="55" t="s">
        <v>1168</v>
      </c>
      <c r="X442" s="55" t="s">
        <v>1159</v>
      </c>
      <c r="Y442" s="55" t="s">
        <v>1359</v>
      </c>
      <c r="Z442" s="55" t="s">
        <v>1226</v>
      </c>
    </row>
    <row r="443" spans="1:26">
      <c r="A443" s="55" t="s">
        <v>987</v>
      </c>
      <c r="B443" s="55" t="s">
        <v>272</v>
      </c>
      <c r="C443" s="55" t="s">
        <v>1236</v>
      </c>
      <c r="D443" s="55" t="s">
        <v>87</v>
      </c>
      <c r="E443" s="55" t="s">
        <v>87</v>
      </c>
      <c r="F443" s="55" t="s">
        <v>75</v>
      </c>
      <c r="G443" s="56">
        <v>5</v>
      </c>
      <c r="H443" s="56">
        <v>5</v>
      </c>
      <c r="I443" s="56">
        <v>1785</v>
      </c>
      <c r="J443" s="56">
        <v>3</v>
      </c>
      <c r="K443" s="56">
        <v>1</v>
      </c>
      <c r="L443" s="56">
        <v>2698523.95</v>
      </c>
      <c r="M443" s="56">
        <v>528012.08</v>
      </c>
      <c r="N443" s="56">
        <v>2698523.95</v>
      </c>
      <c r="O443" s="56">
        <v>75</v>
      </c>
      <c r="P443" s="56">
        <v>0</v>
      </c>
      <c r="Q443" s="56">
        <v>1</v>
      </c>
      <c r="R443" s="56">
        <v>1</v>
      </c>
      <c r="S443" s="56">
        <v>1</v>
      </c>
      <c r="T443" s="55" t="s">
        <v>1157</v>
      </c>
      <c r="U443" s="55" t="s">
        <v>1165</v>
      </c>
      <c r="V443" s="55" t="s">
        <v>1146</v>
      </c>
      <c r="W443" s="55" t="s">
        <v>1168</v>
      </c>
      <c r="X443" s="55" t="s">
        <v>1154</v>
      </c>
      <c r="Y443" s="55" t="s">
        <v>1327</v>
      </c>
      <c r="Z443" s="55" t="s">
        <v>1196</v>
      </c>
    </row>
    <row r="444" spans="1:26">
      <c r="A444" s="55" t="s">
        <v>988</v>
      </c>
      <c r="B444" s="55" t="s">
        <v>272</v>
      </c>
      <c r="C444" s="55" t="s">
        <v>1187</v>
      </c>
      <c r="D444" s="55" t="s">
        <v>1188</v>
      </c>
      <c r="E444" s="55" t="s">
        <v>1188</v>
      </c>
      <c r="F444" s="55" t="s">
        <v>74</v>
      </c>
      <c r="G444" s="56">
        <v>2</v>
      </c>
      <c r="H444" s="56">
        <v>2</v>
      </c>
      <c r="I444" s="56">
        <v>47</v>
      </c>
      <c r="J444" s="56">
        <v>109</v>
      </c>
      <c r="K444" s="56">
        <v>1</v>
      </c>
      <c r="L444" s="56">
        <v>1264818.26</v>
      </c>
      <c r="M444" s="56">
        <v>1752646.18</v>
      </c>
      <c r="N444" s="56">
        <v>5669292.399999999</v>
      </c>
      <c r="O444" s="56">
        <v>78</v>
      </c>
      <c r="P444" s="56">
        <v>0</v>
      </c>
      <c r="Q444" s="56">
        <v>0</v>
      </c>
      <c r="R444" s="56">
        <v>0</v>
      </c>
      <c r="S444" s="56">
        <v>1</v>
      </c>
      <c r="T444" s="55" t="s">
        <v>1167</v>
      </c>
      <c r="U444" s="55" t="s">
        <v>1145</v>
      </c>
      <c r="V444" s="55" t="s">
        <v>1314</v>
      </c>
      <c r="W444" s="55" t="s">
        <v>1147</v>
      </c>
      <c r="X444" s="55" t="s">
        <v>1154</v>
      </c>
      <c r="Y444" s="55" t="s">
        <v>1315</v>
      </c>
      <c r="Z444" s="55" t="s">
        <v>1230</v>
      </c>
    </row>
    <row r="445" spans="1:26">
      <c r="A445" s="55" t="s">
        <v>989</v>
      </c>
      <c r="B445" s="55" t="s">
        <v>563</v>
      </c>
      <c r="C445" s="55" t="s">
        <v>1191</v>
      </c>
      <c r="D445" s="55" t="s">
        <v>1143</v>
      </c>
      <c r="E445" s="55" t="s">
        <v>1188</v>
      </c>
      <c r="F445" s="55" t="s">
        <v>73</v>
      </c>
      <c r="G445" s="56">
        <v>1</v>
      </c>
      <c r="H445" s="56">
        <v>2</v>
      </c>
      <c r="I445" s="56">
        <v>0</v>
      </c>
      <c r="J445" s="56">
        <v>34</v>
      </c>
      <c r="K445" s="56">
        <v>0</v>
      </c>
      <c r="L445" s="56">
        <v>14018401.45</v>
      </c>
      <c r="M445" s="56">
        <v>4689883.78</v>
      </c>
      <c r="N445" s="56">
        <v>21041595.49</v>
      </c>
      <c r="O445" s="56">
        <v>73</v>
      </c>
      <c r="P445" s="56">
        <v>0</v>
      </c>
      <c r="Q445" s="56">
        <v>0</v>
      </c>
      <c r="R445" s="56">
        <v>0</v>
      </c>
      <c r="S445" s="56">
        <v>0</v>
      </c>
      <c r="T445" s="55" t="s">
        <v>1167</v>
      </c>
      <c r="U445" s="55" t="s">
        <v>1165</v>
      </c>
      <c r="V445" s="55" t="s">
        <v>1146</v>
      </c>
      <c r="W445" s="55" t="s">
        <v>1180</v>
      </c>
      <c r="X445" s="55" t="s">
        <v>1323</v>
      </c>
      <c r="Y445" s="55" t="s">
        <v>1315</v>
      </c>
      <c r="Z445" s="55" t="s">
        <v>1186</v>
      </c>
    </row>
    <row r="446" spans="1:26">
      <c r="A446" s="55" t="s">
        <v>990</v>
      </c>
      <c r="B446" s="55" t="s">
        <v>272</v>
      </c>
      <c r="C446" s="55" t="s">
        <v>1142</v>
      </c>
      <c r="D446" s="55" t="s">
        <v>1143</v>
      </c>
      <c r="E446" s="55" t="s">
        <v>1143</v>
      </c>
      <c r="F446" s="55" t="s">
        <v>73</v>
      </c>
      <c r="G446" s="56">
        <v>1</v>
      </c>
      <c r="H446" s="56">
        <v>1</v>
      </c>
      <c r="I446" s="56">
        <v>0</v>
      </c>
      <c r="J446" s="56">
        <v>3</v>
      </c>
      <c r="K446" s="56">
        <v>0</v>
      </c>
      <c r="L446" s="56">
        <v>70030000</v>
      </c>
      <c r="M446" s="56">
        <v>594432.4399999999</v>
      </c>
      <c r="N446" s="56">
        <v>11888648.75</v>
      </c>
      <c r="O446" s="56">
        <v>65</v>
      </c>
      <c r="P446" s="56">
        <v>0</v>
      </c>
      <c r="Q446" s="56">
        <v>0</v>
      </c>
      <c r="R446" s="56">
        <v>0</v>
      </c>
      <c r="S446" s="56">
        <v>0</v>
      </c>
      <c r="T446" s="55" t="s">
        <v>1152</v>
      </c>
      <c r="U446" s="55" t="s">
        <v>1145</v>
      </c>
      <c r="V446" s="55" t="s">
        <v>1153</v>
      </c>
      <c r="W446" s="55" t="s">
        <v>1147</v>
      </c>
      <c r="X446" s="55" t="s">
        <v>1148</v>
      </c>
      <c r="Y446" s="55" t="s">
        <v>1210</v>
      </c>
      <c r="Z446" s="55" t="s">
        <v>1185</v>
      </c>
    </row>
    <row r="447" spans="1:26">
      <c r="A447" s="55" t="s">
        <v>991</v>
      </c>
      <c r="B447" s="55" t="s">
        <v>272</v>
      </c>
      <c r="C447" s="55" t="s">
        <v>1236</v>
      </c>
      <c r="D447" s="55" t="s">
        <v>87</v>
      </c>
      <c r="E447" s="55" t="s">
        <v>87</v>
      </c>
      <c r="F447" s="55" t="s">
        <v>75</v>
      </c>
      <c r="G447" s="56">
        <v>5</v>
      </c>
      <c r="H447" s="56">
        <v>5</v>
      </c>
      <c r="I447" s="56">
        <v>0</v>
      </c>
      <c r="J447" s="56">
        <v>44</v>
      </c>
      <c r="K447" s="56">
        <v>0</v>
      </c>
      <c r="L447" s="56">
        <v>1053997.56</v>
      </c>
      <c r="M447" s="56">
        <v>641645.3199999999</v>
      </c>
      <c r="N447" s="56">
        <v>1053997.56</v>
      </c>
      <c r="O447" s="56">
        <v>42</v>
      </c>
      <c r="P447" s="56">
        <v>0</v>
      </c>
      <c r="Q447" s="56">
        <v>0</v>
      </c>
      <c r="R447" s="56">
        <v>1</v>
      </c>
      <c r="S447" s="56">
        <v>0</v>
      </c>
      <c r="T447" s="55" t="s">
        <v>1157</v>
      </c>
      <c r="U447" s="55" t="s">
        <v>1145</v>
      </c>
      <c r="V447" s="55" t="s">
        <v>1146</v>
      </c>
      <c r="W447" s="55" t="s">
        <v>1168</v>
      </c>
      <c r="X447" s="55" t="s">
        <v>1154</v>
      </c>
      <c r="Y447" s="55" t="s">
        <v>1360</v>
      </c>
      <c r="Z447" s="55" t="s">
        <v>1307</v>
      </c>
    </row>
    <row r="448" spans="1:26">
      <c r="A448" s="55" t="s">
        <v>992</v>
      </c>
      <c r="B448" s="55" t="s">
        <v>272</v>
      </c>
      <c r="C448" s="55" t="s">
        <v>1142</v>
      </c>
      <c r="D448" s="55" t="s">
        <v>1213</v>
      </c>
      <c r="E448" s="55" t="s">
        <v>1143</v>
      </c>
      <c r="F448" s="55" t="s">
        <v>76</v>
      </c>
      <c r="H448" s="56">
        <v>1</v>
      </c>
      <c r="I448" s="56">
        <v>0</v>
      </c>
      <c r="J448" s="56">
        <v>33</v>
      </c>
      <c r="K448" s="56">
        <v>0</v>
      </c>
      <c r="L448" s="56">
        <v>0</v>
      </c>
      <c r="M448" s="56">
        <v>0</v>
      </c>
      <c r="N448" s="56">
        <v>0</v>
      </c>
      <c r="O448" s="56">
        <v>74</v>
      </c>
      <c r="P448" s="56">
        <v>1</v>
      </c>
      <c r="Q448" s="56">
        <v>0</v>
      </c>
      <c r="R448" s="56">
        <v>0</v>
      </c>
      <c r="S448" s="56">
        <v>0</v>
      </c>
      <c r="T448" s="55" t="s">
        <v>1167</v>
      </c>
      <c r="U448" s="55" t="s">
        <v>1145</v>
      </c>
      <c r="V448" s="55" t="s">
        <v>1153</v>
      </c>
      <c r="W448" s="55" t="s">
        <v>1147</v>
      </c>
      <c r="X448" s="55" t="s">
        <v>1159</v>
      </c>
      <c r="Y448" s="55" t="s">
        <v>1361</v>
      </c>
      <c r="Z448" s="55" t="s">
        <v>1220</v>
      </c>
    </row>
    <row r="449" spans="1:26">
      <c r="A449" s="55" t="s">
        <v>993</v>
      </c>
      <c r="B449" s="55" t="s">
        <v>272</v>
      </c>
      <c r="C449" s="55" t="s">
        <v>1142</v>
      </c>
      <c r="D449" s="55" t="s">
        <v>1143</v>
      </c>
      <c r="E449" s="55" t="s">
        <v>1143</v>
      </c>
      <c r="F449" s="55" t="s">
        <v>73</v>
      </c>
      <c r="G449" s="56">
        <v>1</v>
      </c>
      <c r="H449" s="56">
        <v>1</v>
      </c>
      <c r="I449" s="56">
        <v>0</v>
      </c>
      <c r="J449" s="56">
        <v>1</v>
      </c>
      <c r="K449" s="56">
        <v>0</v>
      </c>
      <c r="L449" s="56">
        <v>0</v>
      </c>
      <c r="M449" s="56">
        <v>4370217.44</v>
      </c>
      <c r="N449" s="56">
        <v>35775249.48</v>
      </c>
      <c r="O449" s="56">
        <v>34</v>
      </c>
      <c r="P449" s="56">
        <v>1</v>
      </c>
      <c r="Q449" s="56">
        <v>0</v>
      </c>
      <c r="R449" s="56">
        <v>0</v>
      </c>
      <c r="S449" s="56">
        <v>0</v>
      </c>
      <c r="T449" s="55" t="s">
        <v>1152</v>
      </c>
      <c r="U449" s="55" t="s">
        <v>1145</v>
      </c>
      <c r="V449" s="55" t="s">
        <v>1146</v>
      </c>
      <c r="W449" s="55" t="s">
        <v>1168</v>
      </c>
      <c r="X449" s="55" t="s">
        <v>1159</v>
      </c>
      <c r="Y449" s="55" t="s">
        <v>1362</v>
      </c>
      <c r="Z449" s="55" t="s">
        <v>1185</v>
      </c>
    </row>
    <row r="450" spans="1:26">
      <c r="A450" s="55" t="s">
        <v>994</v>
      </c>
      <c r="B450" s="55" t="s">
        <v>272</v>
      </c>
      <c r="C450" s="55" t="s">
        <v>1142</v>
      </c>
      <c r="D450" s="55" t="s">
        <v>1143</v>
      </c>
      <c r="E450" s="55" t="s">
        <v>1143</v>
      </c>
      <c r="F450" s="55" t="s">
        <v>73</v>
      </c>
      <c r="G450" s="56">
        <v>1</v>
      </c>
      <c r="H450" s="56">
        <v>1</v>
      </c>
      <c r="I450" s="56">
        <v>0</v>
      </c>
      <c r="J450" s="56">
        <v>89</v>
      </c>
      <c r="K450" s="56">
        <v>0</v>
      </c>
      <c r="L450" s="56">
        <v>5070425.25</v>
      </c>
      <c r="M450" s="56">
        <v>4443148.2</v>
      </c>
      <c r="N450" s="56">
        <v>5070425.25</v>
      </c>
      <c r="O450" s="56">
        <v>31</v>
      </c>
      <c r="P450" s="56">
        <v>0</v>
      </c>
      <c r="Q450" s="56">
        <v>0</v>
      </c>
      <c r="R450" s="56">
        <v>0</v>
      </c>
      <c r="S450" s="56">
        <v>0</v>
      </c>
      <c r="T450" s="55" t="s">
        <v>1157</v>
      </c>
      <c r="U450" s="55" t="s">
        <v>1145</v>
      </c>
      <c r="V450" s="55" t="s">
        <v>1153</v>
      </c>
      <c r="W450" s="55" t="s">
        <v>1181</v>
      </c>
      <c r="X450" s="55" t="s">
        <v>1201</v>
      </c>
      <c r="Y450" s="55" t="s">
        <v>1362</v>
      </c>
      <c r="Z450" s="55" t="s">
        <v>1196</v>
      </c>
    </row>
    <row r="451" spans="1:26">
      <c r="A451" s="55" t="s">
        <v>995</v>
      </c>
      <c r="B451" s="55" t="s">
        <v>272</v>
      </c>
      <c r="C451" s="55" t="s">
        <v>1142</v>
      </c>
      <c r="D451" s="55" t="s">
        <v>1143</v>
      </c>
      <c r="E451" s="55" t="s">
        <v>1143</v>
      </c>
      <c r="F451" s="55" t="s">
        <v>73</v>
      </c>
      <c r="G451" s="56">
        <v>1</v>
      </c>
      <c r="H451" s="56">
        <v>1</v>
      </c>
      <c r="I451" s="56">
        <v>0</v>
      </c>
      <c r="J451" s="56">
        <v>1</v>
      </c>
      <c r="K451" s="56">
        <v>0</v>
      </c>
      <c r="L451" s="56">
        <v>44700000</v>
      </c>
      <c r="M451" s="56">
        <v>1758868.72</v>
      </c>
      <c r="N451" s="56">
        <v>35177374.38</v>
      </c>
      <c r="O451" s="56">
        <v>8</v>
      </c>
      <c r="P451" s="56">
        <v>0</v>
      </c>
      <c r="Q451" s="56">
        <v>0</v>
      </c>
      <c r="R451" s="56">
        <v>0</v>
      </c>
      <c r="S451" s="56">
        <v>0</v>
      </c>
      <c r="T451" s="55" t="s">
        <v>1162</v>
      </c>
      <c r="U451" s="55" t="s">
        <v>1145</v>
      </c>
      <c r="V451" s="55" t="s">
        <v>1153</v>
      </c>
      <c r="W451" s="55" t="s">
        <v>1147</v>
      </c>
      <c r="X451" s="55" t="s">
        <v>1154</v>
      </c>
      <c r="Y451" s="55" t="s">
        <v>1199</v>
      </c>
      <c r="Z451" s="55" t="s">
        <v>1194</v>
      </c>
    </row>
    <row r="452" spans="1:26">
      <c r="A452" s="55" t="s">
        <v>996</v>
      </c>
      <c r="B452" s="55" t="s">
        <v>272</v>
      </c>
      <c r="C452" s="55" t="s">
        <v>1142</v>
      </c>
      <c r="D452" s="55" t="s">
        <v>1143</v>
      </c>
      <c r="E452" s="55" t="s">
        <v>1143</v>
      </c>
      <c r="F452" s="55" t="s">
        <v>73</v>
      </c>
      <c r="G452" s="56">
        <v>1</v>
      </c>
      <c r="H452" s="56">
        <v>1</v>
      </c>
      <c r="I452" s="56">
        <v>0</v>
      </c>
      <c r="J452" s="56">
        <v>10</v>
      </c>
      <c r="K452" s="56">
        <v>0</v>
      </c>
      <c r="L452" s="56">
        <v>38352941</v>
      </c>
      <c r="M452" s="56">
        <v>8102286.75</v>
      </c>
      <c r="N452" s="56">
        <v>904130649</v>
      </c>
      <c r="O452" s="56">
        <v>110</v>
      </c>
      <c r="P452" s="56">
        <v>0</v>
      </c>
      <c r="Q452" s="56">
        <v>0</v>
      </c>
      <c r="R452" s="56">
        <v>0</v>
      </c>
      <c r="S452" s="56">
        <v>0</v>
      </c>
      <c r="T452" s="55" t="s">
        <v>1173</v>
      </c>
      <c r="U452" s="55" t="s">
        <v>1145</v>
      </c>
      <c r="V452" s="55" t="s">
        <v>1153</v>
      </c>
      <c r="W452" s="55" t="s">
        <v>1147</v>
      </c>
      <c r="X452" s="55" t="s">
        <v>1154</v>
      </c>
      <c r="Y452" s="55" t="s">
        <v>1363</v>
      </c>
      <c r="Z452" s="55" t="s">
        <v>1164</v>
      </c>
    </row>
    <row r="453" spans="1:26">
      <c r="A453" s="55" t="s">
        <v>997</v>
      </c>
      <c r="B453" s="55" t="s">
        <v>272</v>
      </c>
      <c r="C453" s="55" t="s">
        <v>1142</v>
      </c>
      <c r="D453" s="55" t="s">
        <v>1143</v>
      </c>
      <c r="E453" s="55" t="s">
        <v>1143</v>
      </c>
      <c r="F453" s="55" t="s">
        <v>73</v>
      </c>
      <c r="G453" s="56">
        <v>1</v>
      </c>
      <c r="H453" s="56">
        <v>1</v>
      </c>
      <c r="I453" s="56">
        <v>0</v>
      </c>
      <c r="J453" s="56">
        <v>1</v>
      </c>
      <c r="K453" s="56">
        <v>0</v>
      </c>
      <c r="L453" s="56">
        <v>0</v>
      </c>
      <c r="M453" s="56">
        <v>0</v>
      </c>
      <c r="N453" s="56">
        <v>0</v>
      </c>
      <c r="O453" s="56">
        <v>3</v>
      </c>
      <c r="P453" s="56">
        <v>1</v>
      </c>
      <c r="Q453" s="56">
        <v>0</v>
      </c>
      <c r="R453" s="56">
        <v>0</v>
      </c>
      <c r="S453" s="56">
        <v>0</v>
      </c>
      <c r="T453" s="55" t="s">
        <v>1157</v>
      </c>
      <c r="U453" s="55" t="s">
        <v>1165</v>
      </c>
      <c r="V453" s="55" t="s">
        <v>1146</v>
      </c>
      <c r="W453" s="55" t="s">
        <v>1158</v>
      </c>
      <c r="X453" s="55" t="s">
        <v>1364</v>
      </c>
      <c r="Y453" s="55" t="s">
        <v>1365</v>
      </c>
      <c r="Z453" s="55" t="s">
        <v>1280</v>
      </c>
    </row>
    <row r="454" spans="1:26">
      <c r="A454" s="55" t="s">
        <v>998</v>
      </c>
      <c r="B454" s="55" t="s">
        <v>546</v>
      </c>
      <c r="C454" s="55" t="s">
        <v>1151</v>
      </c>
      <c r="D454" s="55" t="s">
        <v>87</v>
      </c>
      <c r="E454" s="55" t="s">
        <v>87</v>
      </c>
      <c r="F454" s="55" t="s">
        <v>75</v>
      </c>
      <c r="G454" s="56">
        <v>5</v>
      </c>
      <c r="H454" s="56">
        <v>5</v>
      </c>
      <c r="I454" s="56">
        <v>199</v>
      </c>
      <c r="J454" s="56">
        <v>480</v>
      </c>
      <c r="K454" s="56">
        <v>30</v>
      </c>
      <c r="L454" s="56">
        <v>50419696.16</v>
      </c>
      <c r="M454" s="56">
        <v>67748250.31999999</v>
      </c>
      <c r="N454" s="56">
        <v>510590190.92</v>
      </c>
      <c r="O454" s="56">
        <v>93</v>
      </c>
      <c r="P454" s="56">
        <v>0</v>
      </c>
      <c r="Q454" s="56">
        <v>1</v>
      </c>
      <c r="R454" s="56">
        <v>1</v>
      </c>
      <c r="S454" s="56">
        <v>1</v>
      </c>
      <c r="T454" s="55" t="s">
        <v>1152</v>
      </c>
      <c r="U454" s="55" t="s">
        <v>1145</v>
      </c>
      <c r="V454" s="55" t="s">
        <v>1153</v>
      </c>
      <c r="W454" s="55" t="s">
        <v>1147</v>
      </c>
      <c r="X454" s="55" t="s">
        <v>1154</v>
      </c>
      <c r="Y454" s="55" t="s">
        <v>1366</v>
      </c>
      <c r="Z454" s="55" t="s">
        <v>1172</v>
      </c>
    </row>
    <row r="455" spans="1:26">
      <c r="A455" s="55" t="s">
        <v>999</v>
      </c>
      <c r="B455" s="55" t="s">
        <v>272</v>
      </c>
      <c r="C455" s="55" t="s">
        <v>1142</v>
      </c>
      <c r="D455" s="55" t="s">
        <v>1143</v>
      </c>
      <c r="E455" s="55" t="s">
        <v>1143</v>
      </c>
      <c r="F455" s="55" t="s">
        <v>73</v>
      </c>
      <c r="G455" s="56">
        <v>1</v>
      </c>
      <c r="H455" s="56">
        <v>1</v>
      </c>
      <c r="I455" s="56">
        <v>0</v>
      </c>
      <c r="J455" s="56">
        <v>1</v>
      </c>
      <c r="K455" s="56">
        <v>0</v>
      </c>
      <c r="L455" s="56">
        <v>0</v>
      </c>
      <c r="M455" s="56">
        <v>4509275.73</v>
      </c>
      <c r="N455" s="56">
        <v>505105155.1</v>
      </c>
      <c r="O455" s="56">
        <v>31</v>
      </c>
      <c r="P455" s="56">
        <v>1</v>
      </c>
      <c r="Q455" s="56">
        <v>0</v>
      </c>
      <c r="R455" s="56">
        <v>0</v>
      </c>
      <c r="S455" s="56">
        <v>0</v>
      </c>
      <c r="T455" s="55" t="s">
        <v>1167</v>
      </c>
      <c r="U455" s="55" t="s">
        <v>1145</v>
      </c>
      <c r="V455" s="55" t="s">
        <v>1146</v>
      </c>
      <c r="W455" s="55" t="s">
        <v>1147</v>
      </c>
      <c r="X455" s="55" t="s">
        <v>1154</v>
      </c>
      <c r="Y455" s="55" t="s">
        <v>1356</v>
      </c>
      <c r="Z455" s="55" t="s">
        <v>1161</v>
      </c>
    </row>
    <row r="456" spans="1:26">
      <c r="A456" s="55" t="s">
        <v>1000</v>
      </c>
      <c r="B456" s="55" t="s">
        <v>272</v>
      </c>
      <c r="C456" s="55" t="s">
        <v>1236</v>
      </c>
      <c r="D456" s="55" t="s">
        <v>1188</v>
      </c>
      <c r="E456" s="55" t="s">
        <v>86</v>
      </c>
      <c r="F456" s="55" t="s">
        <v>74</v>
      </c>
      <c r="G456" s="56">
        <v>2</v>
      </c>
      <c r="H456" s="56">
        <v>4</v>
      </c>
      <c r="I456" s="56">
        <v>0</v>
      </c>
      <c r="J456" s="56">
        <v>7</v>
      </c>
      <c r="K456" s="56">
        <v>2</v>
      </c>
      <c r="L456" s="56">
        <v>83440000</v>
      </c>
      <c r="M456" s="56">
        <v>990061.98</v>
      </c>
      <c r="N456" s="56">
        <v>19801239.68</v>
      </c>
      <c r="O456" s="56">
        <v>107</v>
      </c>
      <c r="P456" s="56">
        <v>0</v>
      </c>
      <c r="Q456" s="56">
        <v>0</v>
      </c>
      <c r="R456" s="56">
        <v>1</v>
      </c>
      <c r="S456" s="56">
        <v>0</v>
      </c>
      <c r="T456" s="55" t="s">
        <v>1152</v>
      </c>
      <c r="U456" s="55" t="s">
        <v>1145</v>
      </c>
      <c r="V456" s="55" t="s">
        <v>1146</v>
      </c>
      <c r="W456" s="55" t="s">
        <v>1168</v>
      </c>
      <c r="X456" s="55" t="s">
        <v>1154</v>
      </c>
      <c r="Y456" s="55" t="s">
        <v>1256</v>
      </c>
      <c r="Z456" s="55" t="s">
        <v>1182</v>
      </c>
    </row>
    <row r="457" spans="1:26">
      <c r="A457" s="55" t="s">
        <v>1001</v>
      </c>
      <c r="B457" s="55" t="s">
        <v>272</v>
      </c>
      <c r="C457" s="55" t="s">
        <v>1142</v>
      </c>
      <c r="D457" s="55" t="s">
        <v>1143</v>
      </c>
      <c r="E457" s="55" t="s">
        <v>1143</v>
      </c>
      <c r="F457" s="55" t="s">
        <v>73</v>
      </c>
      <c r="G457" s="56">
        <v>1</v>
      </c>
      <c r="H457" s="56">
        <v>1</v>
      </c>
      <c r="I457" s="56">
        <v>0</v>
      </c>
      <c r="J457" s="56">
        <v>89</v>
      </c>
      <c r="K457" s="56">
        <v>0</v>
      </c>
      <c r="L457" s="56">
        <v>15008035.22</v>
      </c>
      <c r="M457" s="56">
        <v>9885071.960000001</v>
      </c>
      <c r="N457" s="56">
        <v>17163329.83</v>
      </c>
      <c r="O457" s="56">
        <v>47</v>
      </c>
      <c r="P457" s="56">
        <v>0</v>
      </c>
      <c r="Q457" s="56">
        <v>0</v>
      </c>
      <c r="R457" s="56">
        <v>0</v>
      </c>
      <c r="S457" s="56">
        <v>0</v>
      </c>
      <c r="T457" s="55" t="s">
        <v>1162</v>
      </c>
      <c r="U457" s="55" t="s">
        <v>1165</v>
      </c>
      <c r="V457" s="55" t="s">
        <v>1153</v>
      </c>
      <c r="W457" s="55" t="s">
        <v>1168</v>
      </c>
      <c r="X457" s="55" t="s">
        <v>1292</v>
      </c>
      <c r="Y457" s="55" t="s">
        <v>1367</v>
      </c>
      <c r="Z457" s="55" t="s">
        <v>1185</v>
      </c>
    </row>
    <row r="458" spans="1:26">
      <c r="A458" s="55" t="s">
        <v>1002</v>
      </c>
      <c r="B458" s="55" t="s">
        <v>272</v>
      </c>
      <c r="C458" s="55" t="s">
        <v>1142</v>
      </c>
      <c r="D458" s="55" t="s">
        <v>1143</v>
      </c>
      <c r="E458" s="55" t="s">
        <v>1143</v>
      </c>
      <c r="F458" s="55" t="s">
        <v>73</v>
      </c>
      <c r="G458" s="56">
        <v>1</v>
      </c>
      <c r="H458" s="56">
        <v>1</v>
      </c>
      <c r="I458" s="56">
        <v>0</v>
      </c>
      <c r="J458" s="56">
        <v>3</v>
      </c>
      <c r="K458" s="56">
        <v>0</v>
      </c>
      <c r="L458" s="56">
        <v>0</v>
      </c>
      <c r="M458" s="56">
        <v>7254038.89</v>
      </c>
      <c r="N458" s="56">
        <v>533897766.3</v>
      </c>
      <c r="O458" s="56">
        <v>8</v>
      </c>
      <c r="P458" s="56">
        <v>1</v>
      </c>
      <c r="Q458" s="56">
        <v>0</v>
      </c>
      <c r="R458" s="56">
        <v>0</v>
      </c>
      <c r="S458" s="56">
        <v>0</v>
      </c>
      <c r="T458" s="55" t="s">
        <v>1157</v>
      </c>
      <c r="U458" s="55" t="s">
        <v>1145</v>
      </c>
      <c r="V458" s="55" t="s">
        <v>1153</v>
      </c>
      <c r="W458" s="55" t="s">
        <v>1147</v>
      </c>
      <c r="X458" s="55" t="s">
        <v>1163</v>
      </c>
      <c r="Y458" s="55" t="s">
        <v>1367</v>
      </c>
      <c r="Z458" s="55" t="s">
        <v>1182</v>
      </c>
    </row>
    <row r="459" spans="1:26">
      <c r="A459" s="55" t="s">
        <v>1003</v>
      </c>
      <c r="B459" s="55" t="s">
        <v>272</v>
      </c>
      <c r="C459" s="55" t="s">
        <v>1187</v>
      </c>
      <c r="D459" s="55" t="s">
        <v>1143</v>
      </c>
      <c r="E459" s="55" t="s">
        <v>1188</v>
      </c>
      <c r="F459" s="55" t="s">
        <v>73</v>
      </c>
      <c r="G459" s="56">
        <v>1</v>
      </c>
      <c r="H459" s="56">
        <v>2</v>
      </c>
      <c r="I459" s="56">
        <v>0</v>
      </c>
      <c r="J459" s="56">
        <v>17</v>
      </c>
      <c r="K459" s="56">
        <v>1</v>
      </c>
      <c r="L459" s="56">
        <v>0</v>
      </c>
      <c r="M459" s="56">
        <v>2841067.55</v>
      </c>
      <c r="N459" s="56">
        <v>123827279.76</v>
      </c>
      <c r="O459" s="56">
        <v>71</v>
      </c>
      <c r="P459" s="56">
        <v>1</v>
      </c>
      <c r="Q459" s="56">
        <v>0</v>
      </c>
      <c r="R459" s="56">
        <v>0</v>
      </c>
      <c r="S459" s="56">
        <v>0</v>
      </c>
      <c r="T459" s="55" t="s">
        <v>1157</v>
      </c>
      <c r="U459" s="55" t="s">
        <v>1145</v>
      </c>
      <c r="V459" s="55" t="s">
        <v>1146</v>
      </c>
      <c r="W459" s="55" t="s">
        <v>1168</v>
      </c>
      <c r="X459" s="55" t="s">
        <v>1154</v>
      </c>
      <c r="Y459" s="55" t="s">
        <v>1368</v>
      </c>
      <c r="Z459" s="55" t="s">
        <v>1150</v>
      </c>
    </row>
    <row r="460" spans="1:26">
      <c r="A460" s="55" t="s">
        <v>1004</v>
      </c>
      <c r="B460" s="55" t="s">
        <v>272</v>
      </c>
      <c r="C460" s="55" t="s">
        <v>1142</v>
      </c>
      <c r="D460" s="55" t="s">
        <v>1143</v>
      </c>
      <c r="E460" s="55" t="s">
        <v>1143</v>
      </c>
      <c r="F460" s="55" t="s">
        <v>73</v>
      </c>
      <c r="G460" s="56">
        <v>1</v>
      </c>
      <c r="H460" s="56">
        <v>1</v>
      </c>
      <c r="I460" s="56">
        <v>0</v>
      </c>
      <c r="J460" s="56">
        <v>3</v>
      </c>
      <c r="K460" s="56">
        <v>0</v>
      </c>
      <c r="L460" s="56">
        <v>10430000</v>
      </c>
      <c r="M460" s="56">
        <v>4850488.12</v>
      </c>
      <c r="N460" s="56">
        <v>490978085.8</v>
      </c>
      <c r="O460" s="56">
        <v>55</v>
      </c>
      <c r="P460" s="56">
        <v>0</v>
      </c>
      <c r="Q460" s="56">
        <v>0</v>
      </c>
      <c r="R460" s="56">
        <v>0</v>
      </c>
      <c r="S460" s="56">
        <v>0</v>
      </c>
      <c r="T460" s="55" t="s">
        <v>1173</v>
      </c>
      <c r="U460" s="55" t="s">
        <v>1145</v>
      </c>
      <c r="V460" s="55" t="s">
        <v>1146</v>
      </c>
      <c r="W460" s="55" t="s">
        <v>1147</v>
      </c>
      <c r="X460" s="55" t="s">
        <v>1154</v>
      </c>
      <c r="Y460" s="55" t="s">
        <v>1369</v>
      </c>
      <c r="Z460" s="55" t="s">
        <v>1166</v>
      </c>
    </row>
    <row r="461" spans="1:26">
      <c r="A461" s="55" t="s">
        <v>1005</v>
      </c>
      <c r="B461" s="55" t="s">
        <v>272</v>
      </c>
      <c r="C461" s="55" t="s">
        <v>1142</v>
      </c>
      <c r="D461" s="55" t="s">
        <v>1143</v>
      </c>
      <c r="E461" s="55" t="s">
        <v>1143</v>
      </c>
      <c r="F461" s="55" t="s">
        <v>73</v>
      </c>
      <c r="G461" s="56">
        <v>1</v>
      </c>
      <c r="H461" s="56">
        <v>1</v>
      </c>
      <c r="I461" s="56">
        <v>0</v>
      </c>
      <c r="J461" s="56">
        <v>2</v>
      </c>
      <c r="K461" s="56">
        <v>0</v>
      </c>
      <c r="L461" s="56">
        <v>17880000</v>
      </c>
      <c r="M461" s="56">
        <v>217252.89</v>
      </c>
      <c r="N461" s="56">
        <v>4345057.75</v>
      </c>
      <c r="O461" s="56">
        <v>47</v>
      </c>
      <c r="P461" s="56">
        <v>0</v>
      </c>
      <c r="Q461" s="56">
        <v>0</v>
      </c>
      <c r="R461" s="56">
        <v>0</v>
      </c>
      <c r="S461" s="56">
        <v>0</v>
      </c>
      <c r="T461" s="55" t="s">
        <v>1157</v>
      </c>
      <c r="U461" s="55" t="s">
        <v>1165</v>
      </c>
      <c r="V461" s="55" t="s">
        <v>1153</v>
      </c>
      <c r="W461" s="55" t="s">
        <v>1147</v>
      </c>
      <c r="X461" s="55" t="s">
        <v>1154</v>
      </c>
      <c r="Y461" s="55" t="s">
        <v>1357</v>
      </c>
      <c r="Z461" s="55" t="s">
        <v>1166</v>
      </c>
    </row>
    <row r="462" spans="1:26">
      <c r="A462" s="55" t="s">
        <v>1006</v>
      </c>
      <c r="B462" s="55" t="s">
        <v>272</v>
      </c>
      <c r="C462" s="55" t="s">
        <v>1142</v>
      </c>
      <c r="D462" s="55" t="s">
        <v>1143</v>
      </c>
      <c r="E462" s="55" t="s">
        <v>1143</v>
      </c>
      <c r="F462" s="55" t="s">
        <v>73</v>
      </c>
      <c r="G462" s="56">
        <v>1</v>
      </c>
      <c r="H462" s="56">
        <v>1</v>
      </c>
      <c r="I462" s="56">
        <v>0</v>
      </c>
      <c r="J462" s="56">
        <v>16</v>
      </c>
      <c r="K462" s="56">
        <v>0</v>
      </c>
      <c r="L462" s="56">
        <v>385165000</v>
      </c>
      <c r="M462" s="56">
        <v>409406.83</v>
      </c>
      <c r="N462" s="56">
        <v>8188136.669999999</v>
      </c>
      <c r="O462" s="56">
        <v>198</v>
      </c>
      <c r="P462" s="56">
        <v>0</v>
      </c>
      <c r="Q462" s="56">
        <v>0</v>
      </c>
      <c r="R462" s="56">
        <v>0</v>
      </c>
      <c r="S462" s="56">
        <v>0</v>
      </c>
      <c r="T462" s="55" t="s">
        <v>1173</v>
      </c>
      <c r="U462" s="55" t="s">
        <v>1145</v>
      </c>
      <c r="V462" s="55" t="s">
        <v>1146</v>
      </c>
      <c r="W462" s="55" t="s">
        <v>1168</v>
      </c>
      <c r="X462" s="55" t="s">
        <v>1148</v>
      </c>
      <c r="Y462" s="55" t="s">
        <v>1210</v>
      </c>
      <c r="Z462" s="55" t="s">
        <v>1179</v>
      </c>
    </row>
    <row r="463" spans="1:26">
      <c r="A463" s="55" t="s">
        <v>1007</v>
      </c>
      <c r="B463" s="55" t="s">
        <v>272</v>
      </c>
      <c r="C463" s="55" t="s">
        <v>1142</v>
      </c>
      <c r="D463" s="55" t="s">
        <v>1143</v>
      </c>
      <c r="E463" s="55" t="s">
        <v>1143</v>
      </c>
      <c r="F463" s="55" t="s">
        <v>73</v>
      </c>
      <c r="G463" s="56">
        <v>1</v>
      </c>
      <c r="H463" s="56">
        <v>1</v>
      </c>
      <c r="I463" s="56">
        <v>0</v>
      </c>
      <c r="J463" s="56">
        <v>2</v>
      </c>
      <c r="K463" s="56">
        <v>0</v>
      </c>
      <c r="L463" s="56">
        <v>29800000</v>
      </c>
      <c r="M463" s="56">
        <v>19507.19</v>
      </c>
      <c r="N463" s="56">
        <v>390143.8</v>
      </c>
      <c r="O463" s="56">
        <v>89</v>
      </c>
      <c r="P463" s="56">
        <v>0</v>
      </c>
      <c r="Q463" s="56">
        <v>0</v>
      </c>
      <c r="R463" s="56">
        <v>0</v>
      </c>
      <c r="S463" s="56">
        <v>0</v>
      </c>
      <c r="T463" s="55" t="s">
        <v>1167</v>
      </c>
      <c r="U463" s="55" t="s">
        <v>1165</v>
      </c>
      <c r="V463" s="55" t="s">
        <v>1153</v>
      </c>
      <c r="W463" s="55" t="s">
        <v>1168</v>
      </c>
      <c r="X463" s="55" t="s">
        <v>1154</v>
      </c>
      <c r="Y463" s="55" t="s">
        <v>1370</v>
      </c>
      <c r="Z463" s="55" t="s">
        <v>1299</v>
      </c>
    </row>
    <row r="464" spans="1:26">
      <c r="A464" s="55" t="s">
        <v>1008</v>
      </c>
      <c r="B464" s="55" t="s">
        <v>563</v>
      </c>
      <c r="C464" s="55" t="s">
        <v>1191</v>
      </c>
      <c r="D464" s="55" t="s">
        <v>1188</v>
      </c>
      <c r="E464" s="55" t="s">
        <v>1188</v>
      </c>
      <c r="F464" s="55" t="s">
        <v>74</v>
      </c>
      <c r="G464" s="56">
        <v>2</v>
      </c>
      <c r="H464" s="56">
        <v>2</v>
      </c>
      <c r="I464" s="56">
        <v>31</v>
      </c>
      <c r="J464" s="56">
        <v>122</v>
      </c>
      <c r="K464" s="56">
        <v>2</v>
      </c>
      <c r="L464" s="56">
        <v>10937500</v>
      </c>
      <c r="M464" s="56">
        <v>15450528.74</v>
      </c>
      <c r="N464" s="56">
        <v>171048377.05</v>
      </c>
      <c r="O464" s="56">
        <v>84</v>
      </c>
      <c r="P464" s="56">
        <v>0</v>
      </c>
      <c r="Q464" s="56">
        <v>0</v>
      </c>
      <c r="R464" s="56">
        <v>0</v>
      </c>
      <c r="S464" s="56">
        <v>1</v>
      </c>
      <c r="T464" s="55" t="s">
        <v>1167</v>
      </c>
      <c r="U464" s="55" t="s">
        <v>1145</v>
      </c>
      <c r="V464" s="55" t="s">
        <v>1146</v>
      </c>
      <c r="W464" s="55" t="s">
        <v>1180</v>
      </c>
      <c r="X464" s="55" t="s">
        <v>1154</v>
      </c>
      <c r="Y464" s="55" t="s">
        <v>1356</v>
      </c>
      <c r="Z464" s="55" t="s">
        <v>1186</v>
      </c>
    </row>
    <row r="465" spans="1:26">
      <c r="A465" s="55" t="s">
        <v>1009</v>
      </c>
      <c r="B465" s="55" t="s">
        <v>272</v>
      </c>
      <c r="C465" s="55" t="s">
        <v>1142</v>
      </c>
      <c r="D465" s="55" t="s">
        <v>1143</v>
      </c>
      <c r="E465" s="55" t="s">
        <v>1143</v>
      </c>
      <c r="F465" s="55" t="s">
        <v>73</v>
      </c>
      <c r="G465" s="56">
        <v>1</v>
      </c>
      <c r="H465" s="56">
        <v>1</v>
      </c>
      <c r="I465" s="56">
        <v>0</v>
      </c>
      <c r="J465" s="56">
        <v>21</v>
      </c>
      <c r="K465" s="56">
        <v>0</v>
      </c>
      <c r="L465" s="56">
        <v>499150000.07</v>
      </c>
      <c r="M465" s="56">
        <v>1119471.99</v>
      </c>
      <c r="N465" s="56">
        <v>22389439.85</v>
      </c>
      <c r="O465" s="56">
        <v>122</v>
      </c>
      <c r="P465" s="56">
        <v>0</v>
      </c>
      <c r="Q465" s="56">
        <v>0</v>
      </c>
      <c r="R465" s="56">
        <v>0</v>
      </c>
      <c r="S465" s="56">
        <v>0</v>
      </c>
      <c r="T465" s="55" t="s">
        <v>1167</v>
      </c>
      <c r="U465" s="55" t="s">
        <v>1145</v>
      </c>
      <c r="V465" s="55" t="s">
        <v>1146</v>
      </c>
      <c r="W465" s="55" t="s">
        <v>1180</v>
      </c>
      <c r="X465" s="55" t="s">
        <v>1154</v>
      </c>
      <c r="Y465" s="55" t="s">
        <v>1197</v>
      </c>
      <c r="Z465" s="55" t="s">
        <v>1164</v>
      </c>
    </row>
    <row r="466" spans="1:26">
      <c r="A466" s="55" t="s">
        <v>1010</v>
      </c>
      <c r="B466" s="55" t="s">
        <v>272</v>
      </c>
      <c r="C466" s="55" t="s">
        <v>1142</v>
      </c>
      <c r="D466" s="55" t="s">
        <v>1143</v>
      </c>
      <c r="E466" s="55" t="s">
        <v>1143</v>
      </c>
      <c r="F466" s="55" t="s">
        <v>73</v>
      </c>
      <c r="G466" s="56">
        <v>1</v>
      </c>
      <c r="H466" s="56">
        <v>1</v>
      </c>
      <c r="I466" s="56">
        <v>0</v>
      </c>
      <c r="J466" s="56">
        <v>12</v>
      </c>
      <c r="K466" s="56">
        <v>0</v>
      </c>
      <c r="L466" s="56">
        <v>21158000</v>
      </c>
      <c r="M466" s="56">
        <v>2114295.14</v>
      </c>
      <c r="N466" s="56">
        <v>197382846.42</v>
      </c>
      <c r="O466" s="56">
        <v>56</v>
      </c>
      <c r="P466" s="56">
        <v>0</v>
      </c>
      <c r="Q466" s="56">
        <v>0</v>
      </c>
      <c r="R466" s="56">
        <v>0</v>
      </c>
      <c r="S466" s="56">
        <v>0</v>
      </c>
      <c r="T466" s="55" t="s">
        <v>1167</v>
      </c>
      <c r="U466" s="55" t="s">
        <v>1165</v>
      </c>
      <c r="V466" s="55" t="s">
        <v>1153</v>
      </c>
      <c r="W466" s="55" t="s">
        <v>1181</v>
      </c>
      <c r="X466" s="55" t="s">
        <v>1154</v>
      </c>
      <c r="Y466" s="55" t="s">
        <v>1371</v>
      </c>
      <c r="Z466" s="55" t="s">
        <v>1372</v>
      </c>
    </row>
    <row r="467" spans="1:26">
      <c r="A467" s="55" t="s">
        <v>1011</v>
      </c>
      <c r="B467" s="55" t="s">
        <v>272</v>
      </c>
      <c r="C467" s="55" t="s">
        <v>1187</v>
      </c>
      <c r="D467" s="55" t="s">
        <v>1188</v>
      </c>
      <c r="E467" s="55" t="s">
        <v>1188</v>
      </c>
      <c r="F467" s="55" t="s">
        <v>74</v>
      </c>
      <c r="G467" s="56">
        <v>2</v>
      </c>
      <c r="H467" s="56">
        <v>2</v>
      </c>
      <c r="I467" s="56">
        <v>57</v>
      </c>
      <c r="J467" s="56">
        <v>14</v>
      </c>
      <c r="K467" s="56">
        <v>4</v>
      </c>
      <c r="L467" s="56">
        <v>3578865.54</v>
      </c>
      <c r="M467" s="56">
        <v>4397505.32</v>
      </c>
      <c r="N467" s="56">
        <v>183350799.54</v>
      </c>
      <c r="O467" s="56">
        <v>25</v>
      </c>
      <c r="P467" s="56">
        <v>0</v>
      </c>
      <c r="Q467" s="56">
        <v>0</v>
      </c>
      <c r="R467" s="56">
        <v>0</v>
      </c>
      <c r="S467" s="56">
        <v>1</v>
      </c>
      <c r="T467" s="55" t="s">
        <v>1157</v>
      </c>
      <c r="U467" s="55" t="s">
        <v>1165</v>
      </c>
      <c r="V467" s="55" t="s">
        <v>1153</v>
      </c>
      <c r="W467" s="55" t="s">
        <v>1147</v>
      </c>
      <c r="X467" s="55" t="s">
        <v>1154</v>
      </c>
      <c r="Y467" s="55" t="s">
        <v>1366</v>
      </c>
      <c r="Z467" s="55" t="s">
        <v>1230</v>
      </c>
    </row>
    <row r="468" spans="1:26">
      <c r="A468" s="55" t="s">
        <v>1012</v>
      </c>
      <c r="B468" s="55" t="s">
        <v>272</v>
      </c>
      <c r="C468" s="55" t="s">
        <v>1142</v>
      </c>
      <c r="D468" s="55" t="s">
        <v>1143</v>
      </c>
      <c r="E468" s="55" t="s">
        <v>1143</v>
      </c>
      <c r="F468" s="55" t="s">
        <v>73</v>
      </c>
      <c r="G468" s="56">
        <v>1</v>
      </c>
      <c r="H468" s="56">
        <v>1</v>
      </c>
      <c r="I468" s="56">
        <v>0</v>
      </c>
      <c r="J468" s="56">
        <v>42</v>
      </c>
      <c r="K468" s="56">
        <v>0</v>
      </c>
      <c r="L468" s="56">
        <v>2939056.4</v>
      </c>
      <c r="M468" s="56">
        <v>3199678.98</v>
      </c>
      <c r="N468" s="56">
        <v>2939056.4</v>
      </c>
      <c r="O468" s="56">
        <v>56</v>
      </c>
      <c r="P468" s="56">
        <v>0</v>
      </c>
      <c r="Q468" s="56">
        <v>0</v>
      </c>
      <c r="R468" s="56">
        <v>0</v>
      </c>
      <c r="S468" s="56">
        <v>0</v>
      </c>
      <c r="T468" s="55" t="s">
        <v>1157</v>
      </c>
      <c r="U468" s="55" t="s">
        <v>1165</v>
      </c>
      <c r="V468" s="55" t="s">
        <v>1153</v>
      </c>
      <c r="W468" s="55" t="s">
        <v>1147</v>
      </c>
      <c r="X468" s="55" t="s">
        <v>1221</v>
      </c>
      <c r="Y468" s="55" t="s">
        <v>1366</v>
      </c>
      <c r="Z468" s="55" t="s">
        <v>1156</v>
      </c>
    </row>
    <row r="469" spans="1:26">
      <c r="A469" s="55" t="s">
        <v>1013</v>
      </c>
      <c r="B469" s="55" t="s">
        <v>272</v>
      </c>
      <c r="C469" s="55" t="s">
        <v>1142</v>
      </c>
      <c r="D469" s="55" t="s">
        <v>1143</v>
      </c>
      <c r="E469" s="55" t="s">
        <v>1143</v>
      </c>
      <c r="F469" s="55" t="s">
        <v>73</v>
      </c>
      <c r="G469" s="56">
        <v>1</v>
      </c>
      <c r="H469" s="56">
        <v>1</v>
      </c>
      <c r="I469" s="56">
        <v>0</v>
      </c>
      <c r="J469" s="56">
        <v>21</v>
      </c>
      <c r="K469" s="56">
        <v>0</v>
      </c>
      <c r="L469" s="56">
        <v>1311200000</v>
      </c>
      <c r="M469" s="56">
        <v>4112279.68</v>
      </c>
      <c r="N469" s="56">
        <v>82245593.5</v>
      </c>
      <c r="O469" s="56">
        <v>231</v>
      </c>
      <c r="P469" s="56">
        <v>0</v>
      </c>
      <c r="Q469" s="56">
        <v>0</v>
      </c>
      <c r="R469" s="56">
        <v>0</v>
      </c>
      <c r="S469" s="56">
        <v>0</v>
      </c>
      <c r="T469" s="55" t="s">
        <v>1144</v>
      </c>
      <c r="U469" s="55" t="s">
        <v>1145</v>
      </c>
      <c r="V469" s="55" t="s">
        <v>1146</v>
      </c>
      <c r="W469" s="55" t="s">
        <v>1181</v>
      </c>
      <c r="X469" s="55" t="s">
        <v>1154</v>
      </c>
      <c r="Y469" s="55" t="s">
        <v>1354</v>
      </c>
      <c r="Z469" s="55" t="s">
        <v>1306</v>
      </c>
    </row>
    <row r="470" spans="1:26">
      <c r="A470" s="55" t="s">
        <v>1014</v>
      </c>
      <c r="B470" s="55" t="s">
        <v>272</v>
      </c>
      <c r="C470" s="55" t="s">
        <v>1142</v>
      </c>
      <c r="D470" s="55" t="s">
        <v>1143</v>
      </c>
      <c r="E470" s="55" t="s">
        <v>1143</v>
      </c>
      <c r="F470" s="55" t="s">
        <v>73</v>
      </c>
      <c r="G470" s="56">
        <v>1</v>
      </c>
      <c r="H470" s="56">
        <v>1</v>
      </c>
      <c r="I470" s="56">
        <v>0</v>
      </c>
      <c r="J470" s="56">
        <v>8</v>
      </c>
      <c r="K470" s="56">
        <v>0</v>
      </c>
      <c r="L470" s="56">
        <v>84930000</v>
      </c>
      <c r="M470" s="56">
        <v>605646.36</v>
      </c>
      <c r="N470" s="56">
        <v>12112927.2</v>
      </c>
      <c r="O470" s="56">
        <v>61</v>
      </c>
      <c r="P470" s="56">
        <v>0</v>
      </c>
      <c r="Q470" s="56">
        <v>0</v>
      </c>
      <c r="R470" s="56">
        <v>0</v>
      </c>
      <c r="S470" s="56">
        <v>0</v>
      </c>
      <c r="T470" s="55" t="s">
        <v>1173</v>
      </c>
      <c r="U470" s="55" t="s">
        <v>1145</v>
      </c>
      <c r="V470" s="55" t="s">
        <v>1146</v>
      </c>
      <c r="W470" s="55" t="s">
        <v>1147</v>
      </c>
      <c r="X470" s="55" t="s">
        <v>1159</v>
      </c>
      <c r="Y470" s="55" t="s">
        <v>1373</v>
      </c>
      <c r="Z470" s="55" t="s">
        <v>1261</v>
      </c>
    </row>
    <row r="471" spans="1:26">
      <c r="A471" s="55" t="s">
        <v>1015</v>
      </c>
      <c r="B471" s="55" t="s">
        <v>272</v>
      </c>
      <c r="C471" s="55" t="s">
        <v>1142</v>
      </c>
      <c r="D471" s="55" t="s">
        <v>1143</v>
      </c>
      <c r="E471" s="55" t="s">
        <v>1143</v>
      </c>
      <c r="F471" s="55" t="s">
        <v>73</v>
      </c>
      <c r="G471" s="56">
        <v>1</v>
      </c>
      <c r="H471" s="56">
        <v>1</v>
      </c>
      <c r="I471" s="56">
        <v>0</v>
      </c>
      <c r="J471" s="56">
        <v>7</v>
      </c>
      <c r="K471" s="56">
        <v>0</v>
      </c>
      <c r="L471" s="56">
        <v>336905435.8</v>
      </c>
      <c r="M471" s="56">
        <v>18810323.77</v>
      </c>
      <c r="N471" s="56">
        <v>906064208.8</v>
      </c>
      <c r="O471" s="56">
        <v>135</v>
      </c>
      <c r="P471" s="56">
        <v>0</v>
      </c>
      <c r="Q471" s="56">
        <v>0</v>
      </c>
      <c r="R471" s="56">
        <v>0</v>
      </c>
      <c r="S471" s="56">
        <v>0</v>
      </c>
      <c r="T471" s="55" t="s">
        <v>1167</v>
      </c>
      <c r="U471" s="55" t="s">
        <v>1145</v>
      </c>
      <c r="V471" s="55" t="s">
        <v>1153</v>
      </c>
      <c r="W471" s="55" t="s">
        <v>1168</v>
      </c>
      <c r="X471" s="55" t="s">
        <v>1154</v>
      </c>
      <c r="Y471" s="55" t="s">
        <v>1354</v>
      </c>
      <c r="Z471" s="55" t="s">
        <v>1229</v>
      </c>
    </row>
    <row r="472" spans="1:26">
      <c r="A472" s="55" t="s">
        <v>1016</v>
      </c>
      <c r="B472" s="55" t="s">
        <v>272</v>
      </c>
      <c r="C472" s="55" t="s">
        <v>1142</v>
      </c>
      <c r="D472" s="55" t="s">
        <v>1143</v>
      </c>
      <c r="E472" s="55" t="s">
        <v>1143</v>
      </c>
      <c r="F472" s="55" t="s">
        <v>73</v>
      </c>
      <c r="G472" s="56">
        <v>1</v>
      </c>
      <c r="H472" s="56">
        <v>1</v>
      </c>
      <c r="I472" s="56">
        <v>0</v>
      </c>
      <c r="J472" s="56">
        <v>26</v>
      </c>
      <c r="K472" s="56">
        <v>0</v>
      </c>
      <c r="L472" s="56">
        <v>578120000</v>
      </c>
      <c r="M472" s="56">
        <v>150105.74</v>
      </c>
      <c r="N472" s="56">
        <v>3002114.71</v>
      </c>
      <c r="O472" s="56">
        <v>195</v>
      </c>
      <c r="P472" s="56">
        <v>0</v>
      </c>
      <c r="Q472" s="56">
        <v>0</v>
      </c>
      <c r="R472" s="56">
        <v>0</v>
      </c>
      <c r="S472" s="56">
        <v>0</v>
      </c>
      <c r="T472" s="55" t="s">
        <v>1152</v>
      </c>
      <c r="U472" s="55" t="s">
        <v>1145</v>
      </c>
      <c r="V472" s="55" t="s">
        <v>1146</v>
      </c>
      <c r="W472" s="55" t="s">
        <v>1147</v>
      </c>
      <c r="X472" s="55" t="s">
        <v>1163</v>
      </c>
      <c r="Y472" s="55" t="s">
        <v>1354</v>
      </c>
      <c r="Z472" s="55" t="s">
        <v>1166</v>
      </c>
    </row>
    <row r="473" spans="1:26">
      <c r="A473" s="55" t="s">
        <v>1017</v>
      </c>
      <c r="B473" s="55" t="s">
        <v>272</v>
      </c>
      <c r="C473" s="55" t="s">
        <v>1142</v>
      </c>
      <c r="D473" s="55" t="s">
        <v>1143</v>
      </c>
      <c r="E473" s="55" t="s">
        <v>1143</v>
      </c>
      <c r="F473" s="55" t="s">
        <v>73</v>
      </c>
      <c r="G473" s="56">
        <v>1</v>
      </c>
      <c r="H473" s="56">
        <v>1</v>
      </c>
      <c r="I473" s="56">
        <v>0</v>
      </c>
      <c r="J473" s="56">
        <v>36</v>
      </c>
      <c r="K473" s="56">
        <v>0</v>
      </c>
      <c r="L473" s="56">
        <v>242698028.85</v>
      </c>
      <c r="M473" s="56">
        <v>211554348.74</v>
      </c>
      <c r="N473" s="56">
        <v>5038831360.58</v>
      </c>
      <c r="O473" s="56">
        <v>44</v>
      </c>
      <c r="P473" s="56">
        <v>0</v>
      </c>
      <c r="Q473" s="56">
        <v>0</v>
      </c>
      <c r="R473" s="56">
        <v>0</v>
      </c>
      <c r="S473" s="56">
        <v>0</v>
      </c>
      <c r="T473" s="55" t="s">
        <v>1157</v>
      </c>
      <c r="U473" s="55" t="s">
        <v>1145</v>
      </c>
      <c r="V473" s="55" t="s">
        <v>1153</v>
      </c>
      <c r="W473" s="55" t="s">
        <v>1147</v>
      </c>
      <c r="X473" s="55" t="s">
        <v>1148</v>
      </c>
      <c r="Y473" s="55" t="s">
        <v>1354</v>
      </c>
      <c r="Z473" s="55" t="s">
        <v>1166</v>
      </c>
    </row>
    <row r="474" spans="1:26">
      <c r="A474" s="55" t="s">
        <v>1018</v>
      </c>
      <c r="B474" s="55" t="s">
        <v>272</v>
      </c>
      <c r="C474" s="55" t="s">
        <v>1142</v>
      </c>
      <c r="D474" s="55" t="s">
        <v>1143</v>
      </c>
      <c r="E474" s="55" t="s">
        <v>1143</v>
      </c>
      <c r="F474" s="55" t="s">
        <v>73</v>
      </c>
      <c r="G474" s="56">
        <v>1</v>
      </c>
      <c r="H474" s="56">
        <v>1</v>
      </c>
      <c r="I474" s="56">
        <v>0</v>
      </c>
      <c r="J474" s="56">
        <v>24</v>
      </c>
      <c r="K474" s="56">
        <v>0</v>
      </c>
      <c r="L474" s="56">
        <v>36215241.5</v>
      </c>
      <c r="M474" s="56">
        <v>6130821.97</v>
      </c>
      <c r="N474" s="56">
        <v>36215241.5</v>
      </c>
      <c r="O474" s="56">
        <v>33</v>
      </c>
      <c r="P474" s="56">
        <v>0</v>
      </c>
      <c r="Q474" s="56">
        <v>0</v>
      </c>
      <c r="R474" s="56">
        <v>0</v>
      </c>
      <c r="S474" s="56">
        <v>0</v>
      </c>
      <c r="T474" s="55" t="s">
        <v>1157</v>
      </c>
      <c r="U474" s="55" t="s">
        <v>1165</v>
      </c>
      <c r="V474" s="55" t="s">
        <v>1153</v>
      </c>
      <c r="W474" s="55" t="s">
        <v>1147</v>
      </c>
      <c r="X474" s="55" t="s">
        <v>1262</v>
      </c>
      <c r="Y474" s="55" t="s">
        <v>1354</v>
      </c>
      <c r="Z474" s="55" t="s">
        <v>1239</v>
      </c>
    </row>
    <row r="475" spans="1:26">
      <c r="A475" s="55" t="s">
        <v>1019</v>
      </c>
      <c r="B475" s="55" t="s">
        <v>272</v>
      </c>
      <c r="C475" s="55" t="s">
        <v>1142</v>
      </c>
      <c r="D475" s="55" t="s">
        <v>1143</v>
      </c>
      <c r="E475" s="55" t="s">
        <v>1143</v>
      </c>
      <c r="F475" s="55" t="s">
        <v>73</v>
      </c>
      <c r="G475" s="56">
        <v>1</v>
      </c>
      <c r="H475" s="56">
        <v>1</v>
      </c>
      <c r="I475" s="56">
        <v>0</v>
      </c>
      <c r="J475" s="56">
        <v>3</v>
      </c>
      <c r="K475" s="56">
        <v>0</v>
      </c>
      <c r="L475" s="56">
        <v>351640000</v>
      </c>
      <c r="M475" s="56">
        <v>0</v>
      </c>
      <c r="N475" s="56">
        <v>0</v>
      </c>
      <c r="O475" s="56">
        <v>61</v>
      </c>
      <c r="P475" s="56">
        <v>0</v>
      </c>
      <c r="Q475" s="56">
        <v>0</v>
      </c>
      <c r="R475" s="56">
        <v>0</v>
      </c>
      <c r="S475" s="56">
        <v>0</v>
      </c>
      <c r="T475" s="55" t="s">
        <v>1144</v>
      </c>
      <c r="U475" s="55" t="s">
        <v>1145</v>
      </c>
      <c r="V475" s="55" t="s">
        <v>1146</v>
      </c>
      <c r="W475" s="55" t="s">
        <v>1147</v>
      </c>
      <c r="X475" s="55" t="s">
        <v>1159</v>
      </c>
      <c r="Y475" s="55" t="s">
        <v>1354</v>
      </c>
      <c r="Z475" s="55" t="s">
        <v>1229</v>
      </c>
    </row>
    <row r="476" spans="1:26">
      <c r="A476" s="55" t="s">
        <v>1020</v>
      </c>
      <c r="B476" s="55" t="s">
        <v>272</v>
      </c>
      <c r="C476" s="55" t="s">
        <v>1142</v>
      </c>
      <c r="D476" s="55" t="s">
        <v>1143</v>
      </c>
      <c r="E476" s="55" t="s">
        <v>1143</v>
      </c>
      <c r="F476" s="55" t="s">
        <v>73</v>
      </c>
      <c r="G476" s="56">
        <v>1</v>
      </c>
      <c r="H476" s="56">
        <v>1</v>
      </c>
      <c r="I476" s="56">
        <v>0</v>
      </c>
      <c r="J476" s="56">
        <v>1</v>
      </c>
      <c r="K476" s="56">
        <v>0</v>
      </c>
      <c r="L476" s="56">
        <v>149000000</v>
      </c>
      <c r="M476" s="56">
        <v>2821937.98</v>
      </c>
      <c r="N476" s="56">
        <v>56438759.56</v>
      </c>
      <c r="O476" s="56">
        <v>104</v>
      </c>
      <c r="P476" s="56">
        <v>0</v>
      </c>
      <c r="Q476" s="56">
        <v>0</v>
      </c>
      <c r="R476" s="56">
        <v>0</v>
      </c>
      <c r="S476" s="56">
        <v>0</v>
      </c>
      <c r="T476" s="55" t="s">
        <v>1167</v>
      </c>
      <c r="U476" s="55" t="s">
        <v>1165</v>
      </c>
      <c r="V476" s="55" t="s">
        <v>1153</v>
      </c>
      <c r="W476" s="55" t="s">
        <v>1147</v>
      </c>
      <c r="X476" s="55" t="s">
        <v>1159</v>
      </c>
      <c r="Y476" s="55" t="s">
        <v>1199</v>
      </c>
      <c r="Z476" s="55" t="s">
        <v>1193</v>
      </c>
    </row>
    <row r="477" spans="1:26">
      <c r="A477" s="55" t="s">
        <v>1021</v>
      </c>
      <c r="B477" s="55" t="s">
        <v>272</v>
      </c>
      <c r="C477" s="55" t="s">
        <v>1142</v>
      </c>
      <c r="D477" s="55" t="s">
        <v>1143</v>
      </c>
      <c r="E477" s="55" t="s">
        <v>1143</v>
      </c>
      <c r="F477" s="55" t="s">
        <v>73</v>
      </c>
      <c r="G477" s="56">
        <v>1</v>
      </c>
      <c r="H477" s="56">
        <v>1</v>
      </c>
      <c r="I477" s="56">
        <v>0</v>
      </c>
      <c r="J477" s="56">
        <v>3</v>
      </c>
      <c r="K477" s="56">
        <v>0</v>
      </c>
      <c r="L477" s="56">
        <v>44700000</v>
      </c>
      <c r="M477" s="56">
        <v>888503.63</v>
      </c>
      <c r="N477" s="56">
        <v>17770072.5</v>
      </c>
      <c r="O477" s="56">
        <v>39</v>
      </c>
      <c r="P477" s="56">
        <v>0</v>
      </c>
      <c r="Q477" s="56">
        <v>0</v>
      </c>
      <c r="R477" s="56">
        <v>0</v>
      </c>
      <c r="S477" s="56">
        <v>0</v>
      </c>
      <c r="T477" s="55" t="s">
        <v>1157</v>
      </c>
      <c r="U477" s="55" t="s">
        <v>1165</v>
      </c>
      <c r="V477" s="55" t="s">
        <v>1153</v>
      </c>
      <c r="W477" s="55" t="s">
        <v>1147</v>
      </c>
      <c r="X477" s="55" t="s">
        <v>1154</v>
      </c>
      <c r="Y477" s="55" t="s">
        <v>1197</v>
      </c>
      <c r="Z477" s="55" t="s">
        <v>1230</v>
      </c>
    </row>
    <row r="478" spans="1:26">
      <c r="A478" s="55" t="s">
        <v>1022</v>
      </c>
      <c r="B478" s="55" t="s">
        <v>272</v>
      </c>
      <c r="C478" s="55" t="s">
        <v>1142</v>
      </c>
      <c r="D478" s="55" t="s">
        <v>1143</v>
      </c>
      <c r="E478" s="55" t="s">
        <v>1143</v>
      </c>
      <c r="F478" s="55" t="s">
        <v>73</v>
      </c>
      <c r="G478" s="56">
        <v>1</v>
      </c>
      <c r="H478" s="56">
        <v>1</v>
      </c>
      <c r="I478" s="56">
        <v>0</v>
      </c>
      <c r="J478" s="56">
        <v>1</v>
      </c>
      <c r="K478" s="56">
        <v>0</v>
      </c>
      <c r="L478" s="56">
        <v>0</v>
      </c>
      <c r="M478" s="56">
        <v>4174563.2</v>
      </c>
      <c r="N478" s="56">
        <v>220694170.4</v>
      </c>
      <c r="O478" s="56">
        <v>88</v>
      </c>
      <c r="P478" s="56">
        <v>1</v>
      </c>
      <c r="Q478" s="56">
        <v>0</v>
      </c>
      <c r="R478" s="56">
        <v>0</v>
      </c>
      <c r="S478" s="56">
        <v>0</v>
      </c>
      <c r="T478" s="55" t="s">
        <v>1167</v>
      </c>
      <c r="U478" s="55" t="s">
        <v>1145</v>
      </c>
      <c r="V478" s="55" t="s">
        <v>1153</v>
      </c>
      <c r="W478" s="55" t="s">
        <v>1168</v>
      </c>
      <c r="X478" s="55" t="s">
        <v>1154</v>
      </c>
      <c r="Y478" s="55" t="s">
        <v>1256</v>
      </c>
      <c r="Z478" s="55" t="s">
        <v>1374</v>
      </c>
    </row>
    <row r="479" spans="1:26">
      <c r="A479" s="55" t="s">
        <v>1023</v>
      </c>
      <c r="B479" s="55" t="s">
        <v>272</v>
      </c>
      <c r="C479" s="55" t="s">
        <v>1142</v>
      </c>
      <c r="D479" s="55" t="s">
        <v>1143</v>
      </c>
      <c r="E479" s="55" t="s">
        <v>1143</v>
      </c>
      <c r="F479" s="55" t="s">
        <v>73</v>
      </c>
      <c r="G479" s="56">
        <v>1</v>
      </c>
      <c r="H479" s="56">
        <v>1</v>
      </c>
      <c r="I479" s="56">
        <v>0</v>
      </c>
      <c r="J479" s="56">
        <v>5</v>
      </c>
      <c r="K479" s="56">
        <v>0</v>
      </c>
      <c r="L479" s="56">
        <v>399320000</v>
      </c>
      <c r="M479" s="56">
        <v>200410.91</v>
      </c>
      <c r="N479" s="56">
        <v>4008218.22</v>
      </c>
      <c r="O479" s="56">
        <v>129</v>
      </c>
      <c r="P479" s="56">
        <v>0</v>
      </c>
      <c r="Q479" s="56">
        <v>0</v>
      </c>
      <c r="R479" s="56">
        <v>0</v>
      </c>
      <c r="S479" s="56">
        <v>0</v>
      </c>
      <c r="T479" s="55" t="s">
        <v>1167</v>
      </c>
      <c r="U479" s="55" t="s">
        <v>1145</v>
      </c>
      <c r="V479" s="55" t="s">
        <v>1153</v>
      </c>
      <c r="W479" s="55" t="s">
        <v>1147</v>
      </c>
      <c r="X479" s="55" t="s">
        <v>1154</v>
      </c>
      <c r="Y479" s="55" t="s">
        <v>1354</v>
      </c>
      <c r="Z479" s="55" t="s">
        <v>1161</v>
      </c>
    </row>
    <row r="480" spans="1:26">
      <c r="A480" s="55" t="s">
        <v>1024</v>
      </c>
      <c r="B480" s="55" t="s">
        <v>272</v>
      </c>
      <c r="C480" s="55" t="s">
        <v>1142</v>
      </c>
      <c r="D480" s="55" t="s">
        <v>1143</v>
      </c>
      <c r="E480" s="55" t="s">
        <v>1143</v>
      </c>
      <c r="F480" s="55" t="s">
        <v>73</v>
      </c>
      <c r="G480" s="56">
        <v>1</v>
      </c>
      <c r="H480" s="56">
        <v>1</v>
      </c>
      <c r="I480" s="56">
        <v>0</v>
      </c>
      <c r="J480" s="56">
        <v>8</v>
      </c>
      <c r="K480" s="56">
        <v>0</v>
      </c>
      <c r="L480" s="56">
        <v>455940000</v>
      </c>
      <c r="M480" s="56">
        <v>0</v>
      </c>
      <c r="N480" s="56">
        <v>0</v>
      </c>
      <c r="O480" s="56">
        <v>13</v>
      </c>
      <c r="P480" s="56">
        <v>0</v>
      </c>
      <c r="Q480" s="56">
        <v>0</v>
      </c>
      <c r="R480" s="56">
        <v>0</v>
      </c>
      <c r="S480" s="56">
        <v>0</v>
      </c>
      <c r="T480" s="55" t="s">
        <v>1157</v>
      </c>
      <c r="U480" s="55" t="s">
        <v>1165</v>
      </c>
      <c r="V480" s="55" t="s">
        <v>1153</v>
      </c>
      <c r="W480" s="55" t="s">
        <v>1147</v>
      </c>
      <c r="X480" s="55" t="s">
        <v>1159</v>
      </c>
      <c r="Y480" s="55" t="s">
        <v>1354</v>
      </c>
      <c r="Z480" s="55" t="s">
        <v>1185</v>
      </c>
    </row>
    <row r="481" spans="1:26">
      <c r="A481" s="55" t="s">
        <v>1025</v>
      </c>
      <c r="B481" s="55" t="s">
        <v>272</v>
      </c>
      <c r="C481" s="55" t="s">
        <v>1142</v>
      </c>
      <c r="D481" s="55" t="s">
        <v>1143</v>
      </c>
      <c r="E481" s="55" t="s">
        <v>1143</v>
      </c>
      <c r="F481" s="55" t="s">
        <v>73</v>
      </c>
      <c r="G481" s="56">
        <v>1</v>
      </c>
      <c r="H481" s="56">
        <v>1</v>
      </c>
      <c r="I481" s="56">
        <v>0</v>
      </c>
      <c r="J481" s="56">
        <v>7</v>
      </c>
      <c r="K481" s="56">
        <v>0</v>
      </c>
      <c r="L481" s="56">
        <v>208600000</v>
      </c>
      <c r="M481" s="56">
        <v>210756.99</v>
      </c>
      <c r="N481" s="56">
        <v>4215139.74</v>
      </c>
      <c r="O481" s="56">
        <v>309</v>
      </c>
      <c r="P481" s="56">
        <v>0</v>
      </c>
      <c r="Q481" s="56">
        <v>0</v>
      </c>
      <c r="R481" s="56">
        <v>0</v>
      </c>
      <c r="S481" s="56">
        <v>0</v>
      </c>
      <c r="T481" s="55" t="s">
        <v>1157</v>
      </c>
      <c r="U481" s="55" t="s">
        <v>1145</v>
      </c>
      <c r="V481" s="55" t="s">
        <v>1146</v>
      </c>
      <c r="W481" s="55" t="s">
        <v>1147</v>
      </c>
      <c r="X481" s="55" t="s">
        <v>1258</v>
      </c>
      <c r="Y481" s="55" t="s">
        <v>1354</v>
      </c>
      <c r="Z481" s="55" t="s">
        <v>1166</v>
      </c>
    </row>
    <row r="482" spans="1:26">
      <c r="A482" s="55" t="s">
        <v>1026</v>
      </c>
      <c r="B482" s="55" t="s">
        <v>272</v>
      </c>
      <c r="C482" s="55" t="s">
        <v>1236</v>
      </c>
      <c r="D482" s="55" t="s">
        <v>1143</v>
      </c>
      <c r="E482" s="55" t="s">
        <v>86</v>
      </c>
      <c r="F482" s="55" t="s">
        <v>73</v>
      </c>
      <c r="G482" s="56">
        <v>1</v>
      </c>
      <c r="H482" s="56">
        <v>4</v>
      </c>
      <c r="I482" s="56">
        <v>0</v>
      </c>
      <c r="J482" s="56">
        <v>7</v>
      </c>
      <c r="K482" s="56">
        <v>0</v>
      </c>
      <c r="L482" s="56">
        <v>357600000</v>
      </c>
      <c r="M482" s="56">
        <v>3426950.42</v>
      </c>
      <c r="N482" s="56">
        <v>68539008.47</v>
      </c>
      <c r="O482" s="56">
        <v>66</v>
      </c>
      <c r="P482" s="56">
        <v>0</v>
      </c>
      <c r="Q482" s="56">
        <v>0</v>
      </c>
      <c r="R482" s="56">
        <v>1</v>
      </c>
      <c r="S482" s="56">
        <v>0</v>
      </c>
      <c r="T482" s="55" t="s">
        <v>1227</v>
      </c>
      <c r="U482" s="55" t="s">
        <v>1145</v>
      </c>
      <c r="V482" s="55" t="s">
        <v>1146</v>
      </c>
      <c r="W482" s="55" t="s">
        <v>1180</v>
      </c>
      <c r="X482" s="55" t="s">
        <v>1154</v>
      </c>
      <c r="Y482" s="55" t="s">
        <v>1354</v>
      </c>
      <c r="Z482" s="55" t="s">
        <v>1200</v>
      </c>
    </row>
    <row r="483" spans="1:26">
      <c r="A483" s="55" t="s">
        <v>1027</v>
      </c>
      <c r="B483" s="55" t="s">
        <v>272</v>
      </c>
      <c r="C483" s="55" t="s">
        <v>1142</v>
      </c>
      <c r="D483" s="55" t="s">
        <v>1213</v>
      </c>
      <c r="E483" s="55" t="s">
        <v>1214</v>
      </c>
      <c r="F483" s="55" t="s">
        <v>76</v>
      </c>
      <c r="H483" s="56">
        <v>1</v>
      </c>
      <c r="I483" s="56">
        <v>0</v>
      </c>
      <c r="J483" s="56">
        <v>5</v>
      </c>
      <c r="K483" s="56">
        <v>0</v>
      </c>
      <c r="L483" s="56">
        <v>0</v>
      </c>
      <c r="M483" s="56">
        <v>0</v>
      </c>
      <c r="N483" s="56">
        <v>0</v>
      </c>
      <c r="O483" s="56">
        <v>198</v>
      </c>
      <c r="P483" s="56">
        <v>1</v>
      </c>
      <c r="Q483" s="56">
        <v>0</v>
      </c>
      <c r="R483" s="56">
        <v>0</v>
      </c>
      <c r="S483" s="56">
        <v>0</v>
      </c>
      <c r="T483" s="55" t="s">
        <v>1255</v>
      </c>
      <c r="U483" s="55" t="s">
        <v>1145</v>
      </c>
      <c r="V483" s="55" t="s">
        <v>1146</v>
      </c>
      <c r="W483" s="55" t="s">
        <v>1147</v>
      </c>
      <c r="X483" s="55" t="s">
        <v>1154</v>
      </c>
      <c r="Y483" s="55" t="s">
        <v>1199</v>
      </c>
      <c r="Z483" s="55" t="s">
        <v>1265</v>
      </c>
    </row>
    <row r="484" spans="1:26">
      <c r="A484" s="55" t="s">
        <v>1028</v>
      </c>
      <c r="B484" s="55" t="s">
        <v>272</v>
      </c>
      <c r="C484" s="55" t="s">
        <v>1142</v>
      </c>
      <c r="D484" s="55" t="s">
        <v>1143</v>
      </c>
      <c r="E484" s="55" t="s">
        <v>1143</v>
      </c>
      <c r="F484" s="55" t="s">
        <v>73</v>
      </c>
      <c r="G484" s="56">
        <v>1</v>
      </c>
      <c r="H484" s="56">
        <v>1</v>
      </c>
      <c r="I484" s="56">
        <v>0</v>
      </c>
      <c r="J484" s="56">
        <v>25</v>
      </c>
      <c r="K484" s="56">
        <v>0</v>
      </c>
      <c r="L484" s="56">
        <v>150937000</v>
      </c>
      <c r="M484" s="56">
        <v>247649.6</v>
      </c>
      <c r="N484" s="56">
        <v>4952992.08</v>
      </c>
      <c r="O484" s="56">
        <v>199</v>
      </c>
      <c r="P484" s="56">
        <v>0</v>
      </c>
      <c r="Q484" s="56">
        <v>0</v>
      </c>
      <c r="R484" s="56">
        <v>0</v>
      </c>
      <c r="S484" s="56">
        <v>0</v>
      </c>
      <c r="T484" s="55" t="s">
        <v>1173</v>
      </c>
      <c r="U484" s="55" t="s">
        <v>1145</v>
      </c>
      <c r="V484" s="55" t="s">
        <v>1146</v>
      </c>
      <c r="W484" s="55" t="s">
        <v>1147</v>
      </c>
      <c r="X484" s="55" t="s">
        <v>1154</v>
      </c>
      <c r="Y484" s="55" t="s">
        <v>1363</v>
      </c>
      <c r="Z484" s="55" t="s">
        <v>1150</v>
      </c>
    </row>
    <row r="485" spans="1:26">
      <c r="A485" s="55" t="s">
        <v>1029</v>
      </c>
      <c r="B485" s="55" t="s">
        <v>272</v>
      </c>
      <c r="C485" s="55" t="s">
        <v>1236</v>
      </c>
      <c r="D485" s="55" t="s">
        <v>86</v>
      </c>
      <c r="E485" s="55" t="s">
        <v>86</v>
      </c>
      <c r="F485" s="55" t="s">
        <v>75</v>
      </c>
      <c r="G485" s="56">
        <v>4</v>
      </c>
      <c r="H485" s="56">
        <v>4</v>
      </c>
      <c r="I485" s="56">
        <v>141</v>
      </c>
      <c r="J485" s="56">
        <v>44</v>
      </c>
      <c r="K485" s="56">
        <v>2</v>
      </c>
      <c r="L485" s="56">
        <v>2754636.96</v>
      </c>
      <c r="M485" s="56">
        <v>3750364.35</v>
      </c>
      <c r="N485" s="56">
        <v>9236054.460000001</v>
      </c>
      <c r="O485" s="56">
        <v>52</v>
      </c>
      <c r="P485" s="56">
        <v>0</v>
      </c>
      <c r="Q485" s="56">
        <v>1</v>
      </c>
      <c r="R485" s="56">
        <v>1</v>
      </c>
      <c r="S485" s="56">
        <v>1</v>
      </c>
      <c r="T485" s="55" t="s">
        <v>1162</v>
      </c>
      <c r="U485" s="55" t="s">
        <v>1165</v>
      </c>
      <c r="V485" s="55" t="s">
        <v>1153</v>
      </c>
      <c r="W485" s="55" t="s">
        <v>1147</v>
      </c>
      <c r="X485" s="55" t="s">
        <v>1148</v>
      </c>
      <c r="Y485" s="55" t="s">
        <v>1216</v>
      </c>
      <c r="Z485" s="55" t="s">
        <v>1156</v>
      </c>
    </row>
    <row r="486" spans="1:26">
      <c r="A486" s="55" t="s">
        <v>1030</v>
      </c>
      <c r="B486" s="55" t="s">
        <v>272</v>
      </c>
      <c r="C486" s="55" t="s">
        <v>1142</v>
      </c>
      <c r="D486" s="55" t="s">
        <v>1143</v>
      </c>
      <c r="E486" s="55" t="s">
        <v>1143</v>
      </c>
      <c r="F486" s="55" t="s">
        <v>73</v>
      </c>
      <c r="G486" s="56">
        <v>1</v>
      </c>
      <c r="H486" s="56">
        <v>1</v>
      </c>
      <c r="I486" s="56">
        <v>0</v>
      </c>
      <c r="J486" s="56">
        <v>1</v>
      </c>
      <c r="K486" s="56">
        <v>0</v>
      </c>
      <c r="L486" s="56">
        <v>44700000</v>
      </c>
      <c r="M486" s="56">
        <v>0</v>
      </c>
      <c r="N486" s="56">
        <v>0</v>
      </c>
      <c r="O486" s="56">
        <v>13</v>
      </c>
      <c r="P486" s="56">
        <v>0</v>
      </c>
      <c r="Q486" s="56">
        <v>0</v>
      </c>
      <c r="R486" s="56">
        <v>0</v>
      </c>
      <c r="S486" s="56">
        <v>0</v>
      </c>
      <c r="T486" s="55" t="s">
        <v>1157</v>
      </c>
      <c r="U486" s="55" t="s">
        <v>1145</v>
      </c>
      <c r="V486" s="55" t="s">
        <v>1153</v>
      </c>
      <c r="W486" s="55" t="s">
        <v>1168</v>
      </c>
      <c r="X486" s="55" t="s">
        <v>1174</v>
      </c>
      <c r="Y486" s="55" t="s">
        <v>1274</v>
      </c>
      <c r="Z486" s="55" t="s">
        <v>1172</v>
      </c>
    </row>
    <row r="487" spans="1:26">
      <c r="A487" s="55" t="s">
        <v>1031</v>
      </c>
      <c r="B487" s="55" t="s">
        <v>272</v>
      </c>
      <c r="C487" s="55" t="s">
        <v>1142</v>
      </c>
      <c r="D487" s="55" t="s">
        <v>1143</v>
      </c>
      <c r="E487" s="55" t="s">
        <v>1143</v>
      </c>
      <c r="F487" s="55" t="s">
        <v>73</v>
      </c>
      <c r="G487" s="56">
        <v>1</v>
      </c>
      <c r="H487" s="56">
        <v>1</v>
      </c>
      <c r="I487" s="56">
        <v>0</v>
      </c>
      <c r="J487" s="56">
        <v>57</v>
      </c>
      <c r="K487" s="56">
        <v>0</v>
      </c>
      <c r="L487" s="56">
        <v>0</v>
      </c>
      <c r="M487" s="56">
        <v>0</v>
      </c>
      <c r="N487" s="56">
        <v>0</v>
      </c>
      <c r="O487" s="56">
        <v>45</v>
      </c>
      <c r="P487" s="56">
        <v>1</v>
      </c>
      <c r="Q487" s="56">
        <v>0</v>
      </c>
      <c r="R487" s="56">
        <v>0</v>
      </c>
      <c r="S487" s="56">
        <v>0</v>
      </c>
      <c r="T487" s="55" t="s">
        <v>1162</v>
      </c>
      <c r="U487" s="55" t="s">
        <v>1145</v>
      </c>
      <c r="V487" s="55" t="s">
        <v>1153</v>
      </c>
      <c r="W487" s="55" t="s">
        <v>1168</v>
      </c>
      <c r="X487" s="55" t="s">
        <v>1148</v>
      </c>
      <c r="Y487" s="55" t="s">
        <v>1216</v>
      </c>
      <c r="Z487" s="55" t="s">
        <v>1164</v>
      </c>
    </row>
    <row r="488" spans="1:26">
      <c r="A488" s="55" t="s">
        <v>1032</v>
      </c>
      <c r="B488" s="55" t="s">
        <v>272</v>
      </c>
      <c r="C488" s="55" t="s">
        <v>1142</v>
      </c>
      <c r="D488" s="55" t="s">
        <v>1143</v>
      </c>
      <c r="E488" s="55" t="s">
        <v>1143</v>
      </c>
      <c r="F488" s="55" t="s">
        <v>73</v>
      </c>
      <c r="G488" s="56">
        <v>1</v>
      </c>
      <c r="H488" s="56">
        <v>1</v>
      </c>
      <c r="I488" s="56">
        <v>0</v>
      </c>
      <c r="J488" s="56">
        <v>28</v>
      </c>
      <c r="K488" s="56">
        <v>0</v>
      </c>
      <c r="L488" s="56">
        <v>0</v>
      </c>
      <c r="M488" s="56">
        <v>10968203.49</v>
      </c>
      <c r="N488" s="56">
        <v>1328195842.85</v>
      </c>
      <c r="O488" s="56">
        <v>23</v>
      </c>
      <c r="P488" s="56">
        <v>1</v>
      </c>
      <c r="Q488" s="56">
        <v>0</v>
      </c>
      <c r="R488" s="56">
        <v>0</v>
      </c>
      <c r="S488" s="56">
        <v>0</v>
      </c>
      <c r="T488" s="55" t="s">
        <v>1157</v>
      </c>
      <c r="U488" s="55" t="s">
        <v>1145</v>
      </c>
      <c r="V488" s="55" t="s">
        <v>1153</v>
      </c>
      <c r="W488" s="55" t="s">
        <v>1147</v>
      </c>
      <c r="X488" s="55" t="s">
        <v>1159</v>
      </c>
      <c r="Y488" s="55" t="s">
        <v>1216</v>
      </c>
      <c r="Z488" s="55" t="s">
        <v>1268</v>
      </c>
    </row>
    <row r="489" spans="1:26">
      <c r="A489" s="55" t="s">
        <v>1033</v>
      </c>
      <c r="B489" s="55" t="s">
        <v>546</v>
      </c>
      <c r="C489" s="55" t="s">
        <v>1151</v>
      </c>
      <c r="D489" s="55" t="s">
        <v>87</v>
      </c>
      <c r="E489" s="55" t="s">
        <v>87</v>
      </c>
      <c r="F489" s="55" t="s">
        <v>75</v>
      </c>
      <c r="G489" s="56">
        <v>5</v>
      </c>
      <c r="H489" s="56">
        <v>5</v>
      </c>
      <c r="I489" s="56">
        <v>523</v>
      </c>
      <c r="J489" s="56">
        <v>66</v>
      </c>
      <c r="K489" s="56">
        <v>1</v>
      </c>
      <c r="L489" s="56">
        <v>31119015.89</v>
      </c>
      <c r="M489" s="56">
        <v>27719507.93</v>
      </c>
      <c r="N489" s="56">
        <v>384514254.2900001</v>
      </c>
      <c r="O489" s="56">
        <v>208</v>
      </c>
      <c r="P489" s="56">
        <v>0</v>
      </c>
      <c r="Q489" s="56">
        <v>0</v>
      </c>
      <c r="R489" s="56">
        <v>1</v>
      </c>
      <c r="S489" s="56">
        <v>1</v>
      </c>
      <c r="T489" s="55" t="s">
        <v>1227</v>
      </c>
      <c r="U489" s="55" t="s">
        <v>1145</v>
      </c>
      <c r="V489" s="55" t="s">
        <v>1146</v>
      </c>
      <c r="W489" s="55" t="s">
        <v>1147</v>
      </c>
      <c r="X489" s="55" t="s">
        <v>1154</v>
      </c>
      <c r="Y489" s="55" t="s">
        <v>1216</v>
      </c>
      <c r="Z489" s="55" t="s">
        <v>1230</v>
      </c>
    </row>
    <row r="490" spans="1:26">
      <c r="A490" s="55" t="s">
        <v>1034</v>
      </c>
      <c r="B490" s="55" t="s">
        <v>272</v>
      </c>
      <c r="C490" s="55" t="s">
        <v>1142</v>
      </c>
      <c r="D490" s="55" t="s">
        <v>1143</v>
      </c>
      <c r="E490" s="55" t="s">
        <v>1143</v>
      </c>
      <c r="F490" s="55" t="s">
        <v>73</v>
      </c>
      <c r="G490" s="56">
        <v>1</v>
      </c>
      <c r="H490" s="56">
        <v>1</v>
      </c>
      <c r="I490" s="56">
        <v>0</v>
      </c>
      <c r="J490" s="56">
        <v>5</v>
      </c>
      <c r="K490" s="56">
        <v>0</v>
      </c>
      <c r="L490" s="56">
        <v>44700000</v>
      </c>
      <c r="M490" s="56">
        <v>38286598.41</v>
      </c>
      <c r="N490" s="56">
        <v>364046110.66</v>
      </c>
      <c r="O490" s="56">
        <v>88</v>
      </c>
      <c r="P490" s="56">
        <v>0</v>
      </c>
      <c r="Q490" s="56">
        <v>0</v>
      </c>
      <c r="R490" s="56">
        <v>0</v>
      </c>
      <c r="S490" s="56">
        <v>0</v>
      </c>
      <c r="T490" s="55" t="s">
        <v>1255</v>
      </c>
      <c r="U490" s="55" t="s">
        <v>1145</v>
      </c>
      <c r="V490" s="55" t="s">
        <v>1153</v>
      </c>
      <c r="W490" s="55" t="s">
        <v>1147</v>
      </c>
      <c r="X490" s="55" t="s">
        <v>1154</v>
      </c>
      <c r="Y490" s="55" t="s">
        <v>1276</v>
      </c>
      <c r="Z490" s="55" t="s">
        <v>1229</v>
      </c>
    </row>
    <row r="491" spans="1:26">
      <c r="A491" s="55" t="s">
        <v>1035</v>
      </c>
      <c r="B491" s="55" t="s">
        <v>272</v>
      </c>
      <c r="C491" s="55" t="s">
        <v>1187</v>
      </c>
      <c r="D491" s="55" t="s">
        <v>1143</v>
      </c>
      <c r="E491" s="55" t="s">
        <v>1188</v>
      </c>
      <c r="F491" s="55" t="s">
        <v>73</v>
      </c>
      <c r="G491" s="56">
        <v>1</v>
      </c>
      <c r="H491" s="56">
        <v>2</v>
      </c>
      <c r="I491" s="56">
        <v>0</v>
      </c>
      <c r="J491" s="56">
        <v>3</v>
      </c>
      <c r="K491" s="56">
        <v>1</v>
      </c>
      <c r="L491" s="56">
        <v>14900000</v>
      </c>
      <c r="M491" s="56">
        <v>0</v>
      </c>
      <c r="N491" s="56">
        <v>0</v>
      </c>
      <c r="O491" s="56">
        <v>132</v>
      </c>
      <c r="P491" s="56">
        <v>0</v>
      </c>
      <c r="Q491" s="56">
        <v>0</v>
      </c>
      <c r="R491" s="56">
        <v>0</v>
      </c>
      <c r="S491" s="56">
        <v>0</v>
      </c>
      <c r="T491" s="55" t="s">
        <v>1157</v>
      </c>
      <c r="U491" s="55" t="s">
        <v>1165</v>
      </c>
      <c r="V491" s="55" t="s">
        <v>1153</v>
      </c>
      <c r="W491" s="55" t="s">
        <v>1147</v>
      </c>
      <c r="X491" s="55" t="s">
        <v>1375</v>
      </c>
      <c r="Y491" s="55" t="s">
        <v>1216</v>
      </c>
      <c r="Z491" s="55" t="s">
        <v>1161</v>
      </c>
    </row>
    <row r="492" spans="1:26">
      <c r="A492" s="55" t="s">
        <v>1036</v>
      </c>
      <c r="B492" s="55" t="s">
        <v>272</v>
      </c>
      <c r="C492" s="55" t="s">
        <v>1142</v>
      </c>
      <c r="D492" s="55" t="s">
        <v>1143</v>
      </c>
      <c r="E492" s="55" t="s">
        <v>1143</v>
      </c>
      <c r="F492" s="55" t="s">
        <v>73</v>
      </c>
      <c r="G492" s="56">
        <v>1</v>
      </c>
      <c r="H492" s="56">
        <v>1</v>
      </c>
      <c r="I492" s="56">
        <v>0</v>
      </c>
      <c r="J492" s="56">
        <v>5</v>
      </c>
      <c r="K492" s="56">
        <v>0</v>
      </c>
      <c r="L492" s="56">
        <v>250916000</v>
      </c>
      <c r="M492" s="56">
        <v>51117706.92</v>
      </c>
      <c r="N492" s="56">
        <v>4146957318.75</v>
      </c>
      <c r="O492" s="56">
        <v>37</v>
      </c>
      <c r="P492" s="56">
        <v>0</v>
      </c>
      <c r="Q492" s="56">
        <v>0</v>
      </c>
      <c r="R492" s="56">
        <v>0</v>
      </c>
      <c r="S492" s="56">
        <v>0</v>
      </c>
      <c r="T492" s="55" t="s">
        <v>1157</v>
      </c>
      <c r="U492" s="55" t="s">
        <v>1145</v>
      </c>
      <c r="V492" s="55" t="s">
        <v>1146</v>
      </c>
      <c r="W492" s="55" t="s">
        <v>1180</v>
      </c>
      <c r="X492" s="55" t="s">
        <v>1154</v>
      </c>
      <c r="Y492" s="55" t="s">
        <v>1216</v>
      </c>
      <c r="Z492" s="55" t="s">
        <v>1166</v>
      </c>
    </row>
    <row r="493" spans="1:26">
      <c r="A493" s="55" t="s">
        <v>1037</v>
      </c>
      <c r="B493" s="55" t="s">
        <v>546</v>
      </c>
      <c r="C493" s="55" t="s">
        <v>1151</v>
      </c>
      <c r="D493" s="55" t="s">
        <v>1188</v>
      </c>
      <c r="E493" s="55" t="s">
        <v>1188</v>
      </c>
      <c r="F493" s="55" t="s">
        <v>74</v>
      </c>
      <c r="G493" s="56">
        <v>2</v>
      </c>
      <c r="H493" s="56">
        <v>2</v>
      </c>
      <c r="I493" s="56">
        <v>26</v>
      </c>
      <c r="J493" s="56">
        <v>11</v>
      </c>
      <c r="K493" s="56">
        <v>0</v>
      </c>
      <c r="L493" s="56">
        <v>219030000</v>
      </c>
      <c r="M493" s="56">
        <v>0</v>
      </c>
      <c r="N493" s="56">
        <v>15828075.78</v>
      </c>
      <c r="O493" s="56">
        <v>152</v>
      </c>
      <c r="P493" s="56">
        <v>0</v>
      </c>
      <c r="Q493" s="56">
        <v>0</v>
      </c>
      <c r="R493" s="56">
        <v>0</v>
      </c>
      <c r="S493" s="56">
        <v>1</v>
      </c>
      <c r="T493" s="55" t="s">
        <v>1152</v>
      </c>
      <c r="U493" s="55" t="s">
        <v>1145</v>
      </c>
      <c r="V493" s="55" t="s">
        <v>1146</v>
      </c>
      <c r="W493" s="55" t="s">
        <v>1168</v>
      </c>
      <c r="X493" s="55" t="s">
        <v>1159</v>
      </c>
      <c r="Y493" s="55" t="s">
        <v>1216</v>
      </c>
      <c r="Z493" s="55" t="s">
        <v>1156</v>
      </c>
    </row>
    <row r="494" spans="1:26">
      <c r="A494" s="55" t="s">
        <v>1038</v>
      </c>
      <c r="B494" s="55" t="s">
        <v>546</v>
      </c>
      <c r="C494" s="55" t="s">
        <v>1151</v>
      </c>
      <c r="D494" s="55" t="s">
        <v>87</v>
      </c>
      <c r="E494" s="55" t="s">
        <v>87</v>
      </c>
      <c r="F494" s="55" t="s">
        <v>75</v>
      </c>
      <c r="G494" s="56">
        <v>5</v>
      </c>
      <c r="H494" s="56">
        <v>5</v>
      </c>
      <c r="I494" s="56">
        <v>552</v>
      </c>
      <c r="J494" s="56">
        <v>8</v>
      </c>
      <c r="K494" s="56">
        <v>1</v>
      </c>
      <c r="L494" s="56">
        <v>0</v>
      </c>
      <c r="M494" s="56">
        <v>6248732.43</v>
      </c>
      <c r="N494" s="56">
        <v>123077214.61</v>
      </c>
      <c r="O494" s="56">
        <v>31</v>
      </c>
      <c r="P494" s="56">
        <v>1</v>
      </c>
      <c r="Q494" s="56">
        <v>1</v>
      </c>
      <c r="R494" s="56">
        <v>1</v>
      </c>
      <c r="S494" s="56">
        <v>1</v>
      </c>
      <c r="T494" s="55" t="s">
        <v>1173</v>
      </c>
      <c r="U494" s="55" t="s">
        <v>1165</v>
      </c>
      <c r="V494" s="55" t="s">
        <v>1146</v>
      </c>
      <c r="W494" s="55" t="s">
        <v>1180</v>
      </c>
      <c r="X494" s="55" t="s">
        <v>1159</v>
      </c>
      <c r="Y494" s="55" t="s">
        <v>1274</v>
      </c>
      <c r="Z494" s="55" t="s">
        <v>1164</v>
      </c>
    </row>
    <row r="495" spans="1:26">
      <c r="A495" s="55" t="s">
        <v>1039</v>
      </c>
      <c r="B495" s="55" t="s">
        <v>272</v>
      </c>
      <c r="C495" s="55" t="s">
        <v>1142</v>
      </c>
      <c r="D495" s="55" t="s">
        <v>1143</v>
      </c>
      <c r="E495" s="55" t="s">
        <v>1143</v>
      </c>
      <c r="F495" s="55" t="s">
        <v>73</v>
      </c>
      <c r="G495" s="56">
        <v>1</v>
      </c>
      <c r="H495" s="56">
        <v>1</v>
      </c>
      <c r="I495" s="56">
        <v>0</v>
      </c>
      <c r="J495" s="56">
        <v>65</v>
      </c>
      <c r="K495" s="56">
        <v>0</v>
      </c>
      <c r="L495" s="56">
        <v>39099332.75</v>
      </c>
      <c r="M495" s="56">
        <v>1960919.05</v>
      </c>
      <c r="N495" s="56">
        <v>133114735.25</v>
      </c>
      <c r="O495" s="56">
        <v>99</v>
      </c>
      <c r="P495" s="56">
        <v>0</v>
      </c>
      <c r="Q495" s="56">
        <v>0</v>
      </c>
      <c r="R495" s="56">
        <v>0</v>
      </c>
      <c r="S495" s="56">
        <v>0</v>
      </c>
      <c r="T495" s="55" t="s">
        <v>1167</v>
      </c>
      <c r="U495" s="55" t="s">
        <v>1145</v>
      </c>
      <c r="V495" s="55" t="s">
        <v>1153</v>
      </c>
      <c r="W495" s="55" t="s">
        <v>1147</v>
      </c>
      <c r="X495" s="55" t="s">
        <v>1258</v>
      </c>
      <c r="Y495" s="55" t="s">
        <v>1376</v>
      </c>
      <c r="Z495" s="55" t="s">
        <v>1185</v>
      </c>
    </row>
    <row r="496" spans="1:26">
      <c r="A496" s="55" t="s">
        <v>1040</v>
      </c>
      <c r="B496" s="55" t="s">
        <v>272</v>
      </c>
      <c r="C496" s="55" t="s">
        <v>1187</v>
      </c>
      <c r="D496" s="55" t="s">
        <v>1143</v>
      </c>
      <c r="E496" s="55" t="s">
        <v>1188</v>
      </c>
      <c r="F496" s="55" t="s">
        <v>73</v>
      </c>
      <c r="G496" s="56">
        <v>1</v>
      </c>
      <c r="H496" s="56">
        <v>2</v>
      </c>
      <c r="I496" s="56">
        <v>0</v>
      </c>
      <c r="J496" s="56">
        <v>155</v>
      </c>
      <c r="K496" s="56">
        <v>0</v>
      </c>
      <c r="L496" s="56">
        <v>6448395.21</v>
      </c>
      <c r="M496" s="56">
        <v>1832685.72</v>
      </c>
      <c r="N496" s="56">
        <v>1979224.49</v>
      </c>
      <c r="O496" s="56">
        <v>46</v>
      </c>
      <c r="P496" s="56">
        <v>0</v>
      </c>
      <c r="Q496" s="56">
        <v>0</v>
      </c>
      <c r="R496" s="56">
        <v>0</v>
      </c>
      <c r="S496" s="56">
        <v>0</v>
      </c>
      <c r="T496" s="55" t="s">
        <v>1157</v>
      </c>
      <c r="U496" s="55" t="s">
        <v>1165</v>
      </c>
      <c r="V496" s="55" t="s">
        <v>1153</v>
      </c>
      <c r="W496" s="55" t="s">
        <v>1158</v>
      </c>
      <c r="X496" s="55" t="s">
        <v>1159</v>
      </c>
      <c r="Y496" s="55" t="s">
        <v>1155</v>
      </c>
      <c r="Z496" s="55" t="s">
        <v>1185</v>
      </c>
    </row>
    <row r="497" spans="1:26">
      <c r="A497" s="55" t="s">
        <v>1041</v>
      </c>
      <c r="B497" s="55" t="s">
        <v>272</v>
      </c>
      <c r="C497" s="55" t="s">
        <v>1142</v>
      </c>
      <c r="D497" s="55" t="s">
        <v>1143</v>
      </c>
      <c r="E497" s="55" t="s">
        <v>1143</v>
      </c>
      <c r="F497" s="55" t="s">
        <v>73</v>
      </c>
      <c r="G497" s="56">
        <v>1</v>
      </c>
      <c r="H497" s="56">
        <v>1</v>
      </c>
      <c r="I497" s="56">
        <v>0</v>
      </c>
      <c r="J497" s="56">
        <v>11</v>
      </c>
      <c r="K497" s="56">
        <v>0</v>
      </c>
      <c r="L497" s="56">
        <v>387929471.18</v>
      </c>
      <c r="M497" s="56">
        <v>10407170.34</v>
      </c>
      <c r="N497" s="56">
        <v>742359544.1900001</v>
      </c>
      <c r="O497" s="56">
        <v>102</v>
      </c>
      <c r="P497" s="56">
        <v>0</v>
      </c>
      <c r="Q497" s="56">
        <v>0</v>
      </c>
      <c r="R497" s="56">
        <v>0</v>
      </c>
      <c r="S497" s="56">
        <v>0</v>
      </c>
      <c r="T497" s="55" t="s">
        <v>1167</v>
      </c>
      <c r="U497" s="55" t="s">
        <v>1145</v>
      </c>
      <c r="V497" s="55" t="s">
        <v>1146</v>
      </c>
      <c r="W497" s="55" t="s">
        <v>1147</v>
      </c>
      <c r="X497" s="55" t="s">
        <v>1154</v>
      </c>
      <c r="Y497" s="55" t="s">
        <v>1281</v>
      </c>
      <c r="Z497" s="55" t="s">
        <v>1156</v>
      </c>
    </row>
    <row r="498" spans="1:26">
      <c r="A498" s="55" t="s">
        <v>1042</v>
      </c>
      <c r="B498" s="55" t="s">
        <v>272</v>
      </c>
      <c r="C498" s="55" t="s">
        <v>1142</v>
      </c>
      <c r="D498" s="55" t="s">
        <v>1143</v>
      </c>
      <c r="E498" s="55" t="s">
        <v>1143</v>
      </c>
      <c r="F498" s="55" t="s">
        <v>73</v>
      </c>
      <c r="G498" s="56">
        <v>1</v>
      </c>
      <c r="H498" s="56">
        <v>1</v>
      </c>
      <c r="I498" s="56">
        <v>0</v>
      </c>
      <c r="J498" s="56">
        <v>15</v>
      </c>
      <c r="K498" s="56">
        <v>0</v>
      </c>
      <c r="L498" s="56">
        <v>5891842.96</v>
      </c>
      <c r="M498" s="56">
        <v>1866390.45</v>
      </c>
      <c r="N498" s="56">
        <v>5891842.960000001</v>
      </c>
      <c r="O498" s="56">
        <v>13</v>
      </c>
      <c r="P498" s="56">
        <v>0</v>
      </c>
      <c r="Q498" s="56">
        <v>0</v>
      </c>
      <c r="R498" s="56">
        <v>0</v>
      </c>
      <c r="S498" s="56">
        <v>0</v>
      </c>
      <c r="T498" s="55" t="s">
        <v>1162</v>
      </c>
      <c r="U498" s="55" t="s">
        <v>1145</v>
      </c>
      <c r="V498" s="55" t="s">
        <v>1153</v>
      </c>
      <c r="W498" s="55" t="s">
        <v>1147</v>
      </c>
      <c r="X498" s="55" t="s">
        <v>1154</v>
      </c>
      <c r="Y498" s="55" t="s">
        <v>1376</v>
      </c>
      <c r="Z498" s="55" t="s">
        <v>1185</v>
      </c>
    </row>
    <row r="499" spans="1:26">
      <c r="A499" s="55" t="s">
        <v>1043</v>
      </c>
      <c r="B499" s="55" t="s">
        <v>546</v>
      </c>
      <c r="C499" s="55" t="s">
        <v>1151</v>
      </c>
      <c r="D499" s="55" t="s">
        <v>87</v>
      </c>
      <c r="E499" s="55" t="s">
        <v>87</v>
      </c>
      <c r="F499" s="55" t="s">
        <v>75</v>
      </c>
      <c r="G499" s="56">
        <v>5</v>
      </c>
      <c r="H499" s="56">
        <v>5</v>
      </c>
      <c r="I499" s="56">
        <v>555</v>
      </c>
      <c r="J499" s="56">
        <v>24</v>
      </c>
      <c r="K499" s="56">
        <v>0</v>
      </c>
      <c r="L499" s="56">
        <v>116220000</v>
      </c>
      <c r="M499" s="56">
        <v>0</v>
      </c>
      <c r="N499" s="56">
        <v>1989721177</v>
      </c>
      <c r="O499" s="56">
        <v>254</v>
      </c>
      <c r="P499" s="56">
        <v>0</v>
      </c>
      <c r="Q499" s="56">
        <v>0</v>
      </c>
      <c r="R499" s="56">
        <v>1</v>
      </c>
      <c r="S499" s="56">
        <v>1</v>
      </c>
      <c r="T499" s="55" t="s">
        <v>1227</v>
      </c>
      <c r="U499" s="55" t="s">
        <v>1145</v>
      </c>
      <c r="V499" s="55" t="s">
        <v>1146</v>
      </c>
      <c r="W499" s="55" t="s">
        <v>1147</v>
      </c>
      <c r="X499" s="55" t="s">
        <v>1159</v>
      </c>
      <c r="Y499" s="55" t="s">
        <v>1274</v>
      </c>
      <c r="Z499" s="55" t="s">
        <v>1193</v>
      </c>
    </row>
    <row r="500" spans="1:26">
      <c r="A500" s="55" t="s">
        <v>1044</v>
      </c>
      <c r="B500" s="55" t="s">
        <v>272</v>
      </c>
      <c r="C500" s="55" t="s">
        <v>1142</v>
      </c>
      <c r="D500" s="55" t="s">
        <v>1143</v>
      </c>
      <c r="E500" s="55" t="s">
        <v>1143</v>
      </c>
      <c r="F500" s="55" t="s">
        <v>73</v>
      </c>
      <c r="G500" s="56">
        <v>1</v>
      </c>
      <c r="H500" s="56">
        <v>1</v>
      </c>
      <c r="I500" s="56">
        <v>0</v>
      </c>
      <c r="J500" s="56">
        <v>1</v>
      </c>
      <c r="K500" s="56">
        <v>0</v>
      </c>
      <c r="L500" s="56">
        <v>29800000</v>
      </c>
      <c r="M500" s="56">
        <v>230024.89</v>
      </c>
      <c r="N500" s="56">
        <v>4600497.72</v>
      </c>
      <c r="O500" s="56">
        <v>141</v>
      </c>
      <c r="P500" s="56">
        <v>0</v>
      </c>
      <c r="Q500" s="56">
        <v>0</v>
      </c>
      <c r="R500" s="56">
        <v>0</v>
      </c>
      <c r="S500" s="56">
        <v>0</v>
      </c>
      <c r="T500" s="55" t="s">
        <v>1227</v>
      </c>
      <c r="U500" s="55" t="s">
        <v>1145</v>
      </c>
      <c r="V500" s="55" t="s">
        <v>1146</v>
      </c>
      <c r="W500" s="55" t="s">
        <v>1180</v>
      </c>
      <c r="X500" s="55" t="s">
        <v>1154</v>
      </c>
      <c r="Y500" s="55" t="s">
        <v>1274</v>
      </c>
      <c r="Z500" s="55" t="s">
        <v>1190</v>
      </c>
    </row>
    <row r="501" spans="1:26">
      <c r="A501" s="55" t="s">
        <v>1045</v>
      </c>
      <c r="B501" s="55" t="s">
        <v>272</v>
      </c>
      <c r="C501" s="55" t="s">
        <v>1142</v>
      </c>
      <c r="D501" s="55" t="s">
        <v>1143</v>
      </c>
      <c r="E501" s="55" t="s">
        <v>1143</v>
      </c>
      <c r="F501" s="55" t="s">
        <v>73</v>
      </c>
      <c r="G501" s="56">
        <v>1</v>
      </c>
      <c r="H501" s="56">
        <v>1</v>
      </c>
      <c r="I501" s="56">
        <v>0</v>
      </c>
      <c r="J501" s="56">
        <v>18</v>
      </c>
      <c r="K501" s="56">
        <v>0</v>
      </c>
      <c r="L501" s="56">
        <v>17880000</v>
      </c>
      <c r="M501" s="56">
        <v>48953.63</v>
      </c>
      <c r="N501" s="56">
        <v>979072.61</v>
      </c>
      <c r="O501" s="56">
        <v>42</v>
      </c>
      <c r="P501" s="56">
        <v>0</v>
      </c>
      <c r="Q501" s="56">
        <v>0</v>
      </c>
      <c r="R501" s="56">
        <v>0</v>
      </c>
      <c r="S501" s="56">
        <v>0</v>
      </c>
      <c r="T501" s="55" t="s">
        <v>1173</v>
      </c>
      <c r="U501" s="55" t="s">
        <v>1165</v>
      </c>
      <c r="V501" s="55" t="s">
        <v>1146</v>
      </c>
      <c r="W501" s="55" t="s">
        <v>1147</v>
      </c>
      <c r="X501" s="55" t="s">
        <v>1218</v>
      </c>
      <c r="Y501" s="55" t="s">
        <v>1274</v>
      </c>
      <c r="Z501" s="55" t="s">
        <v>1193</v>
      </c>
    </row>
    <row r="502" spans="1:26">
      <c r="A502" s="55" t="s">
        <v>1046</v>
      </c>
      <c r="B502" s="55" t="s">
        <v>272</v>
      </c>
      <c r="C502" s="55" t="s">
        <v>1142</v>
      </c>
      <c r="D502" s="55" t="s">
        <v>1143</v>
      </c>
      <c r="E502" s="55" t="s">
        <v>1143</v>
      </c>
      <c r="F502" s="55" t="s">
        <v>73</v>
      </c>
      <c r="G502" s="56">
        <v>1</v>
      </c>
      <c r="H502" s="56">
        <v>1</v>
      </c>
      <c r="I502" s="56">
        <v>0</v>
      </c>
      <c r="J502" s="56">
        <v>1</v>
      </c>
      <c r="K502" s="56">
        <v>0</v>
      </c>
      <c r="L502" s="56">
        <v>44700000</v>
      </c>
      <c r="M502" s="56">
        <v>1981681.54</v>
      </c>
      <c r="N502" s="56">
        <v>39633630.78</v>
      </c>
      <c r="O502" s="56">
        <v>3</v>
      </c>
      <c r="P502" s="56">
        <v>0</v>
      </c>
      <c r="Q502" s="56">
        <v>0</v>
      </c>
      <c r="R502" s="56">
        <v>0</v>
      </c>
      <c r="S502" s="56">
        <v>0</v>
      </c>
      <c r="T502" s="55" t="s">
        <v>1162</v>
      </c>
      <c r="U502" s="55" t="s">
        <v>1165</v>
      </c>
      <c r="V502" s="55" t="s">
        <v>1153</v>
      </c>
      <c r="W502" s="55" t="s">
        <v>1180</v>
      </c>
      <c r="X502" s="55" t="s">
        <v>1154</v>
      </c>
      <c r="Y502" s="55" t="s">
        <v>1274</v>
      </c>
      <c r="Z502" s="55" t="s">
        <v>1270</v>
      </c>
    </row>
    <row r="503" spans="1:26">
      <c r="A503" s="55" t="s">
        <v>1047</v>
      </c>
      <c r="B503" s="55" t="s">
        <v>546</v>
      </c>
      <c r="C503" s="55" t="s">
        <v>1151</v>
      </c>
      <c r="D503" s="55" t="s">
        <v>87</v>
      </c>
      <c r="E503" s="55" t="s">
        <v>87</v>
      </c>
      <c r="F503" s="55" t="s">
        <v>75</v>
      </c>
      <c r="G503" s="56">
        <v>5</v>
      </c>
      <c r="H503" s="56">
        <v>5</v>
      </c>
      <c r="I503" s="56">
        <v>180</v>
      </c>
      <c r="J503" s="56">
        <v>6</v>
      </c>
      <c r="K503" s="56">
        <v>0</v>
      </c>
      <c r="L503" s="56">
        <v>37250000</v>
      </c>
      <c r="M503" s="56">
        <v>0</v>
      </c>
      <c r="N503" s="56">
        <v>63292019.84</v>
      </c>
      <c r="O503" s="56">
        <v>164</v>
      </c>
      <c r="P503" s="56">
        <v>0</v>
      </c>
      <c r="Q503" s="56">
        <v>0</v>
      </c>
      <c r="R503" s="56">
        <v>1</v>
      </c>
      <c r="S503" s="56">
        <v>1</v>
      </c>
      <c r="T503" s="55" t="s">
        <v>1173</v>
      </c>
      <c r="U503" s="55" t="s">
        <v>1165</v>
      </c>
      <c r="V503" s="55" t="s">
        <v>1153</v>
      </c>
      <c r="W503" s="55" t="s">
        <v>1147</v>
      </c>
      <c r="X503" s="55" t="s">
        <v>1154</v>
      </c>
      <c r="Y503" s="55" t="s">
        <v>1274</v>
      </c>
      <c r="Z503" s="55" t="s">
        <v>1166</v>
      </c>
    </row>
    <row r="504" spans="1:26">
      <c r="A504" s="55" t="s">
        <v>1048</v>
      </c>
      <c r="B504" s="55" t="s">
        <v>272</v>
      </c>
      <c r="C504" s="55" t="s">
        <v>1142</v>
      </c>
      <c r="D504" s="55" t="s">
        <v>1143</v>
      </c>
      <c r="E504" s="55" t="s">
        <v>1143</v>
      </c>
      <c r="F504" s="55" t="s">
        <v>73</v>
      </c>
      <c r="G504" s="56">
        <v>1</v>
      </c>
      <c r="H504" s="56">
        <v>1</v>
      </c>
      <c r="I504" s="56">
        <v>0</v>
      </c>
      <c r="J504" s="56">
        <v>1</v>
      </c>
      <c r="K504" s="56">
        <v>0</v>
      </c>
      <c r="L504" s="56">
        <v>5960000</v>
      </c>
      <c r="M504" s="56">
        <v>88518.99000000001</v>
      </c>
      <c r="N504" s="56">
        <v>1770379.86</v>
      </c>
      <c r="O504" s="56">
        <v>17</v>
      </c>
      <c r="P504" s="56">
        <v>0</v>
      </c>
      <c r="Q504" s="56">
        <v>0</v>
      </c>
      <c r="R504" s="56">
        <v>0</v>
      </c>
      <c r="S504" s="56">
        <v>0</v>
      </c>
      <c r="T504" s="55" t="s">
        <v>1157</v>
      </c>
      <c r="U504" s="55" t="s">
        <v>1165</v>
      </c>
      <c r="V504" s="55" t="s">
        <v>1153</v>
      </c>
      <c r="W504" s="55" t="s">
        <v>1147</v>
      </c>
      <c r="X504" s="55" t="s">
        <v>1154</v>
      </c>
      <c r="Y504" s="55" t="s">
        <v>1274</v>
      </c>
      <c r="Z504" s="55" t="s">
        <v>1211</v>
      </c>
    </row>
    <row r="505" spans="1:26">
      <c r="A505" s="55" t="s">
        <v>1049</v>
      </c>
      <c r="B505" s="55" t="s">
        <v>272</v>
      </c>
      <c r="C505" s="55" t="s">
        <v>1142</v>
      </c>
      <c r="D505" s="55" t="s">
        <v>1143</v>
      </c>
      <c r="E505" s="55" t="s">
        <v>1143</v>
      </c>
      <c r="F505" s="55" t="s">
        <v>73</v>
      </c>
      <c r="G505" s="56">
        <v>1</v>
      </c>
      <c r="H505" s="56">
        <v>1</v>
      </c>
      <c r="I505" s="56">
        <v>0</v>
      </c>
      <c r="J505" s="56">
        <v>6</v>
      </c>
      <c r="K505" s="56">
        <v>0</v>
      </c>
      <c r="L505" s="56">
        <v>149000000</v>
      </c>
      <c r="M505" s="56">
        <v>85505256.94</v>
      </c>
      <c r="N505" s="56">
        <v>2115048716.3</v>
      </c>
      <c r="O505" s="56">
        <v>83</v>
      </c>
      <c r="P505" s="56">
        <v>0</v>
      </c>
      <c r="Q505" s="56">
        <v>0</v>
      </c>
      <c r="R505" s="56">
        <v>0</v>
      </c>
      <c r="S505" s="56">
        <v>0</v>
      </c>
      <c r="T505" s="55" t="s">
        <v>1144</v>
      </c>
      <c r="U505" s="55" t="s">
        <v>1145</v>
      </c>
      <c r="V505" s="55" t="s">
        <v>1146</v>
      </c>
      <c r="W505" s="55" t="s">
        <v>1147</v>
      </c>
      <c r="X505" s="55" t="s">
        <v>1154</v>
      </c>
      <c r="Y505" s="55" t="s">
        <v>1274</v>
      </c>
      <c r="Z505" s="55" t="s">
        <v>1193</v>
      </c>
    </row>
    <row r="506" spans="1:26">
      <c r="A506" s="55" t="s">
        <v>1050</v>
      </c>
      <c r="B506" s="55" t="s">
        <v>272</v>
      </c>
      <c r="C506" s="55" t="s">
        <v>1142</v>
      </c>
      <c r="D506" s="55" t="s">
        <v>1143</v>
      </c>
      <c r="E506" s="55" t="s">
        <v>1143</v>
      </c>
      <c r="F506" s="55" t="s">
        <v>73</v>
      </c>
      <c r="G506" s="56">
        <v>1</v>
      </c>
      <c r="H506" s="56">
        <v>1</v>
      </c>
      <c r="I506" s="56">
        <v>0</v>
      </c>
      <c r="J506" s="56">
        <v>17</v>
      </c>
      <c r="K506" s="56">
        <v>0</v>
      </c>
      <c r="L506" s="56">
        <v>410495000</v>
      </c>
      <c r="M506" s="56">
        <v>4672211.3</v>
      </c>
      <c r="N506" s="56">
        <v>378791069.84</v>
      </c>
      <c r="O506" s="56">
        <v>106</v>
      </c>
      <c r="P506" s="56">
        <v>0</v>
      </c>
      <c r="Q506" s="56">
        <v>0</v>
      </c>
      <c r="R506" s="56">
        <v>0</v>
      </c>
      <c r="S506" s="56">
        <v>0</v>
      </c>
      <c r="T506" s="55" t="s">
        <v>1167</v>
      </c>
      <c r="U506" s="55" t="s">
        <v>1165</v>
      </c>
      <c r="V506" s="55" t="s">
        <v>1153</v>
      </c>
      <c r="W506" s="55" t="s">
        <v>1147</v>
      </c>
      <c r="X506" s="55" t="s">
        <v>1154</v>
      </c>
      <c r="Y506" s="55" t="s">
        <v>1199</v>
      </c>
      <c r="Z506" s="55" t="s">
        <v>1185</v>
      </c>
    </row>
    <row r="507" spans="1:26">
      <c r="A507" s="55" t="s">
        <v>1051</v>
      </c>
      <c r="B507" s="55" t="s">
        <v>272</v>
      </c>
      <c r="C507" s="55" t="s">
        <v>1142</v>
      </c>
      <c r="D507" s="55" t="s">
        <v>1143</v>
      </c>
      <c r="E507" s="55" t="s">
        <v>1143</v>
      </c>
      <c r="F507" s="55" t="s">
        <v>73</v>
      </c>
      <c r="G507" s="56">
        <v>1</v>
      </c>
      <c r="H507" s="56">
        <v>1</v>
      </c>
      <c r="I507" s="56">
        <v>0</v>
      </c>
      <c r="J507" s="56">
        <v>10</v>
      </c>
      <c r="K507" s="56">
        <v>0</v>
      </c>
      <c r="L507" s="56">
        <v>186250000</v>
      </c>
      <c r="M507" s="56">
        <v>1024208.04</v>
      </c>
      <c r="N507" s="56">
        <v>20484160.75</v>
      </c>
      <c r="O507" s="56">
        <v>145</v>
      </c>
      <c r="P507" s="56">
        <v>0</v>
      </c>
      <c r="Q507" s="56">
        <v>0</v>
      </c>
      <c r="R507" s="56">
        <v>0</v>
      </c>
      <c r="S507" s="56">
        <v>0</v>
      </c>
      <c r="T507" s="55" t="s">
        <v>1152</v>
      </c>
      <c r="U507" s="55" t="s">
        <v>1145</v>
      </c>
      <c r="V507" s="55" t="s">
        <v>1146</v>
      </c>
      <c r="W507" s="55" t="s">
        <v>1180</v>
      </c>
      <c r="X507" s="55" t="s">
        <v>1163</v>
      </c>
      <c r="Y507" s="55" t="s">
        <v>1274</v>
      </c>
      <c r="Z507" s="55" t="s">
        <v>1182</v>
      </c>
    </row>
    <row r="508" spans="1:26">
      <c r="A508" s="55" t="s">
        <v>1052</v>
      </c>
      <c r="B508" s="55" t="s">
        <v>272</v>
      </c>
      <c r="C508" s="55" t="s">
        <v>1142</v>
      </c>
      <c r="D508" s="55" t="s">
        <v>1143</v>
      </c>
      <c r="E508" s="55" t="s">
        <v>1143</v>
      </c>
      <c r="F508" s="55" t="s">
        <v>73</v>
      </c>
      <c r="G508" s="56">
        <v>1</v>
      </c>
      <c r="H508" s="56">
        <v>1</v>
      </c>
      <c r="I508" s="56">
        <v>0</v>
      </c>
      <c r="J508" s="56">
        <v>14</v>
      </c>
      <c r="K508" s="56">
        <v>0</v>
      </c>
      <c r="L508" s="56">
        <v>41720000</v>
      </c>
      <c r="M508" s="56">
        <v>6784556.43</v>
      </c>
      <c r="N508" s="56">
        <v>70860797.70999999</v>
      </c>
      <c r="O508" s="56">
        <v>99</v>
      </c>
      <c r="P508" s="56">
        <v>0</v>
      </c>
      <c r="Q508" s="56">
        <v>0</v>
      </c>
      <c r="R508" s="56">
        <v>0</v>
      </c>
      <c r="S508" s="56">
        <v>0</v>
      </c>
      <c r="T508" s="55" t="s">
        <v>1167</v>
      </c>
      <c r="U508" s="55" t="s">
        <v>1145</v>
      </c>
      <c r="V508" s="55" t="s">
        <v>1146</v>
      </c>
      <c r="W508" s="55" t="s">
        <v>1147</v>
      </c>
      <c r="X508" s="55" t="s">
        <v>1154</v>
      </c>
      <c r="Y508" s="55" t="s">
        <v>1274</v>
      </c>
      <c r="Z508" s="55" t="s">
        <v>1172</v>
      </c>
    </row>
    <row r="509" spans="1:26">
      <c r="A509" s="55" t="s">
        <v>1053</v>
      </c>
      <c r="B509" s="55" t="s">
        <v>272</v>
      </c>
      <c r="C509" s="55" t="s">
        <v>1142</v>
      </c>
      <c r="D509" s="55" t="s">
        <v>1143</v>
      </c>
      <c r="E509" s="55" t="s">
        <v>1143</v>
      </c>
      <c r="F509" s="55" t="s">
        <v>73</v>
      </c>
      <c r="G509" s="56">
        <v>1</v>
      </c>
      <c r="H509" s="56">
        <v>1</v>
      </c>
      <c r="I509" s="56">
        <v>0</v>
      </c>
      <c r="J509" s="56">
        <v>4</v>
      </c>
      <c r="K509" s="56">
        <v>0</v>
      </c>
      <c r="L509" s="56">
        <v>208600000</v>
      </c>
      <c r="M509" s="56">
        <v>1753736.19</v>
      </c>
      <c r="N509" s="56">
        <v>35074723.78</v>
      </c>
      <c r="O509" s="56">
        <v>162</v>
      </c>
      <c r="P509" s="56">
        <v>0</v>
      </c>
      <c r="Q509" s="56">
        <v>0</v>
      </c>
      <c r="R509" s="56">
        <v>0</v>
      </c>
      <c r="S509" s="56">
        <v>0</v>
      </c>
      <c r="T509" s="55" t="s">
        <v>1152</v>
      </c>
      <c r="U509" s="55" t="s">
        <v>1145</v>
      </c>
      <c r="V509" s="55" t="s">
        <v>1153</v>
      </c>
      <c r="W509" s="55" t="s">
        <v>1147</v>
      </c>
      <c r="X509" s="55" t="s">
        <v>1154</v>
      </c>
      <c r="Y509" s="55" t="s">
        <v>1274</v>
      </c>
      <c r="Z509" s="55" t="s">
        <v>1156</v>
      </c>
    </row>
    <row r="510" spans="1:26">
      <c r="A510" s="55" t="s">
        <v>1054</v>
      </c>
      <c r="B510" s="55" t="s">
        <v>272</v>
      </c>
      <c r="C510" s="55" t="s">
        <v>1142</v>
      </c>
      <c r="D510" s="55" t="s">
        <v>1143</v>
      </c>
      <c r="E510" s="55" t="s">
        <v>1143</v>
      </c>
      <c r="F510" s="55" t="s">
        <v>73</v>
      </c>
      <c r="G510" s="56">
        <v>1</v>
      </c>
      <c r="H510" s="56">
        <v>1</v>
      </c>
      <c r="I510" s="56">
        <v>0</v>
      </c>
      <c r="J510" s="56">
        <v>8</v>
      </c>
      <c r="K510" s="56">
        <v>0</v>
      </c>
      <c r="L510" s="56">
        <v>99830000</v>
      </c>
      <c r="M510" s="56">
        <v>387508.5</v>
      </c>
      <c r="N510" s="56">
        <v>7750170</v>
      </c>
      <c r="O510" s="56">
        <v>102</v>
      </c>
      <c r="P510" s="56">
        <v>0</v>
      </c>
      <c r="Q510" s="56">
        <v>0</v>
      </c>
      <c r="R510" s="56">
        <v>0</v>
      </c>
      <c r="S510" s="56">
        <v>0</v>
      </c>
      <c r="T510" s="55" t="s">
        <v>1167</v>
      </c>
      <c r="U510" s="55" t="s">
        <v>1165</v>
      </c>
      <c r="V510" s="55" t="s">
        <v>1153</v>
      </c>
      <c r="W510" s="55" t="s">
        <v>1180</v>
      </c>
      <c r="X510" s="55" t="s">
        <v>1221</v>
      </c>
      <c r="Y510" s="55" t="s">
        <v>1274</v>
      </c>
      <c r="Z510" s="55" t="s">
        <v>1271</v>
      </c>
    </row>
    <row r="511" spans="1:26">
      <c r="A511" s="55" t="s">
        <v>1055</v>
      </c>
      <c r="B511" s="55" t="s">
        <v>546</v>
      </c>
      <c r="C511" s="55" t="s">
        <v>1151</v>
      </c>
      <c r="D511" s="55" t="s">
        <v>87</v>
      </c>
      <c r="E511" s="55" t="s">
        <v>87</v>
      </c>
      <c r="F511" s="55" t="s">
        <v>75</v>
      </c>
      <c r="G511" s="56">
        <v>5</v>
      </c>
      <c r="H511" s="56">
        <v>5</v>
      </c>
      <c r="I511" s="56">
        <v>828</v>
      </c>
      <c r="J511" s="56">
        <v>10</v>
      </c>
      <c r="K511" s="56">
        <v>3</v>
      </c>
      <c r="L511" s="56">
        <v>0</v>
      </c>
      <c r="M511" s="56">
        <v>10924919.82</v>
      </c>
      <c r="N511" s="56">
        <v>320600587.06</v>
      </c>
      <c r="O511" s="56">
        <v>149</v>
      </c>
      <c r="P511" s="56">
        <v>1</v>
      </c>
      <c r="Q511" s="56">
        <v>0</v>
      </c>
      <c r="R511" s="56">
        <v>1</v>
      </c>
      <c r="S511" s="56">
        <v>1</v>
      </c>
      <c r="T511" s="55" t="s">
        <v>1157</v>
      </c>
      <c r="U511" s="55" t="s">
        <v>1145</v>
      </c>
      <c r="V511" s="55" t="s">
        <v>1153</v>
      </c>
      <c r="W511" s="55" t="s">
        <v>1180</v>
      </c>
      <c r="X511" s="55" t="s">
        <v>1198</v>
      </c>
      <c r="Y511" s="55" t="s">
        <v>1274</v>
      </c>
      <c r="Z511" s="55" t="s">
        <v>1211</v>
      </c>
    </row>
    <row r="512" spans="1:26">
      <c r="A512" s="55" t="s">
        <v>1056</v>
      </c>
      <c r="B512" s="55" t="s">
        <v>272</v>
      </c>
      <c r="C512" s="55" t="s">
        <v>1142</v>
      </c>
      <c r="D512" s="55" t="s">
        <v>1143</v>
      </c>
      <c r="E512" s="55" t="s">
        <v>1143</v>
      </c>
      <c r="F512" s="55" t="s">
        <v>73</v>
      </c>
      <c r="G512" s="56">
        <v>1</v>
      </c>
      <c r="H512" s="56">
        <v>1</v>
      </c>
      <c r="I512" s="56">
        <v>0</v>
      </c>
      <c r="J512" s="56">
        <v>2</v>
      </c>
      <c r="K512" s="56">
        <v>0</v>
      </c>
      <c r="L512" s="56">
        <v>735000</v>
      </c>
      <c r="M512" s="56">
        <v>1514255.98</v>
      </c>
      <c r="N512" s="56">
        <v>735000</v>
      </c>
      <c r="O512" s="56">
        <v>4</v>
      </c>
      <c r="P512" s="56">
        <v>0</v>
      </c>
      <c r="Q512" s="56">
        <v>0</v>
      </c>
      <c r="R512" s="56">
        <v>0</v>
      </c>
      <c r="S512" s="56">
        <v>0</v>
      </c>
      <c r="T512" s="55" t="s">
        <v>1144</v>
      </c>
      <c r="U512" s="55" t="s">
        <v>1145</v>
      </c>
      <c r="V512" s="55" t="s">
        <v>1146</v>
      </c>
      <c r="W512" s="55" t="s">
        <v>1147</v>
      </c>
      <c r="X512" s="55" t="s">
        <v>1154</v>
      </c>
      <c r="Y512" s="55" t="s">
        <v>1216</v>
      </c>
      <c r="Z512" s="55" t="s">
        <v>1150</v>
      </c>
    </row>
    <row r="513" spans="1:26">
      <c r="A513" s="55" t="s">
        <v>1057</v>
      </c>
      <c r="B513" s="55" t="s">
        <v>546</v>
      </c>
      <c r="C513" s="55" t="s">
        <v>1151</v>
      </c>
      <c r="D513" s="55" t="s">
        <v>87</v>
      </c>
      <c r="E513" s="55" t="s">
        <v>87</v>
      </c>
      <c r="F513" s="55" t="s">
        <v>75</v>
      </c>
      <c r="G513" s="56">
        <v>5</v>
      </c>
      <c r="H513" s="56">
        <v>5</v>
      </c>
      <c r="I513" s="56">
        <v>424</v>
      </c>
      <c r="J513" s="56">
        <v>65</v>
      </c>
      <c r="K513" s="56">
        <v>1</v>
      </c>
      <c r="L513" s="56">
        <v>0</v>
      </c>
      <c r="M513" s="56">
        <v>1782151.01</v>
      </c>
      <c r="N513" s="56">
        <v>22197999.31</v>
      </c>
      <c r="O513" s="56">
        <v>76</v>
      </c>
      <c r="P513" s="56">
        <v>1</v>
      </c>
      <c r="Q513" s="56">
        <v>0</v>
      </c>
      <c r="R513" s="56">
        <v>1</v>
      </c>
      <c r="S513" s="56">
        <v>1</v>
      </c>
      <c r="T513" s="55" t="s">
        <v>1167</v>
      </c>
      <c r="U513" s="55" t="s">
        <v>1145</v>
      </c>
      <c r="V513" s="55" t="s">
        <v>1153</v>
      </c>
      <c r="W513" s="55" t="s">
        <v>1180</v>
      </c>
      <c r="X513" s="55" t="s">
        <v>1251</v>
      </c>
      <c r="Y513" s="55" t="s">
        <v>1274</v>
      </c>
      <c r="Z513" s="55" t="s">
        <v>1185</v>
      </c>
    </row>
    <row r="514" spans="1:26">
      <c r="A514" s="55" t="s">
        <v>1058</v>
      </c>
      <c r="B514" s="55" t="s">
        <v>272</v>
      </c>
      <c r="C514" s="55" t="s">
        <v>1187</v>
      </c>
      <c r="D514" s="55" t="s">
        <v>1188</v>
      </c>
      <c r="E514" s="55" t="s">
        <v>1188</v>
      </c>
      <c r="F514" s="55" t="s">
        <v>74</v>
      </c>
      <c r="G514" s="56">
        <v>2</v>
      </c>
      <c r="H514" s="56">
        <v>2</v>
      </c>
      <c r="I514" s="56">
        <v>11</v>
      </c>
      <c r="J514" s="56">
        <v>40</v>
      </c>
      <c r="K514" s="56">
        <v>1</v>
      </c>
      <c r="L514" s="56">
        <v>46301500</v>
      </c>
      <c r="M514" s="56">
        <v>9081118.68</v>
      </c>
      <c r="N514" s="56">
        <v>121718699.64</v>
      </c>
      <c r="O514" s="56">
        <v>87</v>
      </c>
      <c r="P514" s="56">
        <v>0</v>
      </c>
      <c r="Q514" s="56">
        <v>0</v>
      </c>
      <c r="R514" s="56">
        <v>0</v>
      </c>
      <c r="S514" s="56">
        <v>1</v>
      </c>
      <c r="T514" s="55" t="s">
        <v>1173</v>
      </c>
      <c r="U514" s="55" t="s">
        <v>1145</v>
      </c>
      <c r="V514" s="55" t="s">
        <v>1146</v>
      </c>
      <c r="W514" s="55" t="s">
        <v>1168</v>
      </c>
      <c r="X514" s="55" t="s">
        <v>1148</v>
      </c>
      <c r="Y514" s="55" t="s">
        <v>1274</v>
      </c>
      <c r="Z514" s="55" t="s">
        <v>1229</v>
      </c>
    </row>
    <row r="515" spans="1:26">
      <c r="A515" s="55" t="s">
        <v>1059</v>
      </c>
      <c r="B515" s="55" t="s">
        <v>272</v>
      </c>
      <c r="C515" s="55" t="s">
        <v>1142</v>
      </c>
      <c r="D515" s="55" t="s">
        <v>1143</v>
      </c>
      <c r="E515" s="55" t="s">
        <v>1143</v>
      </c>
      <c r="F515" s="55" t="s">
        <v>73</v>
      </c>
      <c r="G515" s="56">
        <v>1</v>
      </c>
      <c r="H515" s="56">
        <v>1</v>
      </c>
      <c r="I515" s="56">
        <v>0</v>
      </c>
      <c r="J515" s="56">
        <v>7</v>
      </c>
      <c r="K515" s="56">
        <v>0</v>
      </c>
      <c r="L515" s="56">
        <v>610900000</v>
      </c>
      <c r="M515" s="56">
        <v>152912.2</v>
      </c>
      <c r="N515" s="56">
        <v>3058243.96</v>
      </c>
      <c r="O515" s="56">
        <v>135</v>
      </c>
      <c r="P515" s="56">
        <v>0</v>
      </c>
      <c r="Q515" s="56">
        <v>0</v>
      </c>
      <c r="R515" s="56">
        <v>0</v>
      </c>
      <c r="S515" s="56">
        <v>0</v>
      </c>
      <c r="T515" s="55" t="s">
        <v>1144</v>
      </c>
      <c r="U515" s="55" t="s">
        <v>1145</v>
      </c>
      <c r="V515" s="55" t="s">
        <v>1146</v>
      </c>
      <c r="W515" s="55" t="s">
        <v>1168</v>
      </c>
      <c r="X515" s="55" t="s">
        <v>1154</v>
      </c>
      <c r="Y515" s="55" t="s">
        <v>1155</v>
      </c>
      <c r="Z515" s="55" t="s">
        <v>1190</v>
      </c>
    </row>
    <row r="516" spans="1:26">
      <c r="A516" s="55" t="s">
        <v>1060</v>
      </c>
      <c r="B516" s="55" t="s">
        <v>272</v>
      </c>
      <c r="C516" s="55" t="s">
        <v>1142</v>
      </c>
      <c r="D516" s="55" t="s">
        <v>1143</v>
      </c>
      <c r="E516" s="55" t="s">
        <v>1143</v>
      </c>
      <c r="F516" s="55" t="s">
        <v>73</v>
      </c>
      <c r="G516" s="56">
        <v>1</v>
      </c>
      <c r="H516" s="56">
        <v>1</v>
      </c>
      <c r="I516" s="56">
        <v>0</v>
      </c>
      <c r="J516" s="56">
        <v>28</v>
      </c>
      <c r="K516" s="56">
        <v>0</v>
      </c>
      <c r="L516" s="56">
        <v>45899127</v>
      </c>
      <c r="M516" s="56">
        <v>10489729.95</v>
      </c>
      <c r="N516" s="56">
        <v>1716288326.2</v>
      </c>
      <c r="O516" s="56">
        <v>38</v>
      </c>
      <c r="P516" s="56">
        <v>0</v>
      </c>
      <c r="Q516" s="56">
        <v>0</v>
      </c>
      <c r="R516" s="56">
        <v>0</v>
      </c>
      <c r="S516" s="56">
        <v>0</v>
      </c>
      <c r="T516" s="55" t="s">
        <v>1167</v>
      </c>
      <c r="U516" s="55" t="s">
        <v>1145</v>
      </c>
      <c r="V516" s="55" t="s">
        <v>1153</v>
      </c>
      <c r="W516" s="55" t="s">
        <v>1147</v>
      </c>
      <c r="X516" s="55" t="s">
        <v>1154</v>
      </c>
      <c r="Y516" s="55" t="s">
        <v>1248</v>
      </c>
      <c r="Z516" s="55" t="s">
        <v>1193</v>
      </c>
    </row>
    <row r="517" spans="1:26">
      <c r="A517" s="55" t="s">
        <v>1061</v>
      </c>
      <c r="B517" s="55" t="s">
        <v>272</v>
      </c>
      <c r="C517" s="55" t="s">
        <v>1142</v>
      </c>
      <c r="D517" s="55" t="s">
        <v>1143</v>
      </c>
      <c r="E517" s="55" t="s">
        <v>1143</v>
      </c>
      <c r="F517" s="55" t="s">
        <v>73</v>
      </c>
      <c r="G517" s="56">
        <v>1</v>
      </c>
      <c r="H517" s="56">
        <v>1</v>
      </c>
      <c r="I517" s="56">
        <v>0</v>
      </c>
      <c r="J517" s="56">
        <v>1</v>
      </c>
      <c r="K517" s="56">
        <v>0</v>
      </c>
      <c r="L517" s="56">
        <v>0</v>
      </c>
      <c r="M517" s="56">
        <v>2941027.78</v>
      </c>
      <c r="N517" s="56">
        <v>196042646.3</v>
      </c>
      <c r="O517" s="56">
        <v>20</v>
      </c>
      <c r="P517" s="56">
        <v>1</v>
      </c>
      <c r="Q517" s="56">
        <v>0</v>
      </c>
      <c r="R517" s="56">
        <v>0</v>
      </c>
      <c r="S517" s="56">
        <v>0</v>
      </c>
      <c r="T517" s="55" t="s">
        <v>1173</v>
      </c>
      <c r="U517" s="55" t="s">
        <v>1145</v>
      </c>
      <c r="V517" s="55" t="s">
        <v>1146</v>
      </c>
      <c r="W517" s="55" t="s">
        <v>1181</v>
      </c>
      <c r="X517" s="55" t="s">
        <v>1258</v>
      </c>
      <c r="Y517" s="55" t="s">
        <v>1216</v>
      </c>
      <c r="Z517" s="55" t="s">
        <v>1166</v>
      </c>
    </row>
    <row r="518" spans="1:26">
      <c r="A518" s="55" t="s">
        <v>1062</v>
      </c>
      <c r="B518" s="55" t="s">
        <v>272</v>
      </c>
      <c r="C518" s="55" t="s">
        <v>1142</v>
      </c>
      <c r="D518" s="55" t="s">
        <v>1143</v>
      </c>
      <c r="E518" s="55" t="s">
        <v>1143</v>
      </c>
      <c r="F518" s="55" t="s">
        <v>73</v>
      </c>
      <c r="G518" s="56">
        <v>1</v>
      </c>
      <c r="H518" s="56">
        <v>1</v>
      </c>
      <c r="I518" s="56">
        <v>0</v>
      </c>
      <c r="J518" s="56">
        <v>14</v>
      </c>
      <c r="K518" s="56">
        <v>0</v>
      </c>
      <c r="L518" s="56">
        <v>134100000</v>
      </c>
      <c r="M518" s="56">
        <v>4436584.88</v>
      </c>
      <c r="N518" s="56">
        <v>88731697.59999999</v>
      </c>
      <c r="O518" s="56">
        <v>136</v>
      </c>
      <c r="P518" s="56">
        <v>0</v>
      </c>
      <c r="Q518" s="56">
        <v>0</v>
      </c>
      <c r="R518" s="56">
        <v>0</v>
      </c>
      <c r="S518" s="56">
        <v>0</v>
      </c>
      <c r="T518" s="55" t="s">
        <v>1162</v>
      </c>
      <c r="U518" s="55" t="s">
        <v>1145</v>
      </c>
      <c r="V518" s="55" t="s">
        <v>1153</v>
      </c>
      <c r="W518" s="55" t="s">
        <v>1147</v>
      </c>
      <c r="X518" s="55" t="s">
        <v>1159</v>
      </c>
      <c r="Y518" s="55" t="s">
        <v>1324</v>
      </c>
      <c r="Z518" s="55" t="s">
        <v>1280</v>
      </c>
    </row>
    <row r="519" spans="1:26">
      <c r="A519" s="55" t="s">
        <v>1063</v>
      </c>
      <c r="B519" s="55" t="s">
        <v>272</v>
      </c>
      <c r="C519" s="55" t="s">
        <v>1187</v>
      </c>
      <c r="D519" s="55" t="s">
        <v>1143</v>
      </c>
      <c r="E519" s="55" t="s">
        <v>1188</v>
      </c>
      <c r="F519" s="55" t="s">
        <v>73</v>
      </c>
      <c r="G519" s="56">
        <v>1</v>
      </c>
      <c r="H519" s="56">
        <v>2</v>
      </c>
      <c r="I519" s="56">
        <v>0</v>
      </c>
      <c r="J519" s="56">
        <v>3</v>
      </c>
      <c r="K519" s="56">
        <v>0</v>
      </c>
      <c r="L519" s="56">
        <v>29800000</v>
      </c>
      <c r="M519" s="56">
        <v>168943.56</v>
      </c>
      <c r="N519" s="56">
        <v>3378871.2</v>
      </c>
      <c r="O519" s="56">
        <v>64</v>
      </c>
      <c r="P519" s="56">
        <v>0</v>
      </c>
      <c r="Q519" s="56">
        <v>0</v>
      </c>
      <c r="R519" s="56">
        <v>0</v>
      </c>
      <c r="S519" s="56">
        <v>0</v>
      </c>
      <c r="T519" s="55" t="s">
        <v>1162</v>
      </c>
      <c r="U519" s="55" t="s">
        <v>1145</v>
      </c>
      <c r="V519" s="55" t="s">
        <v>1153</v>
      </c>
      <c r="W519" s="55" t="s">
        <v>1147</v>
      </c>
      <c r="X519" s="55" t="s">
        <v>1221</v>
      </c>
      <c r="Y519" s="55" t="s">
        <v>1274</v>
      </c>
      <c r="Z519" s="55" t="s">
        <v>1194</v>
      </c>
    </row>
    <row r="520" spans="1:26">
      <c r="A520" s="55" t="s">
        <v>1064</v>
      </c>
      <c r="B520" s="55" t="s">
        <v>272</v>
      </c>
      <c r="C520" s="55" t="s">
        <v>1142</v>
      </c>
      <c r="D520" s="55" t="s">
        <v>1143</v>
      </c>
      <c r="E520" s="55" t="s">
        <v>1143</v>
      </c>
      <c r="F520" s="55" t="s">
        <v>73</v>
      </c>
      <c r="G520" s="56">
        <v>1</v>
      </c>
      <c r="H520" s="56">
        <v>1</v>
      </c>
      <c r="I520" s="56">
        <v>0</v>
      </c>
      <c r="J520" s="56">
        <v>4</v>
      </c>
      <c r="K520" s="56">
        <v>0</v>
      </c>
      <c r="L520" s="56">
        <v>761232.26</v>
      </c>
      <c r="M520" s="56">
        <v>31444686.27</v>
      </c>
      <c r="N520" s="56">
        <v>1899037884.06</v>
      </c>
      <c r="O520" s="56">
        <v>4</v>
      </c>
      <c r="P520" s="56">
        <v>0</v>
      </c>
      <c r="Q520" s="56">
        <v>0</v>
      </c>
      <c r="R520" s="56">
        <v>0</v>
      </c>
      <c r="S520" s="56">
        <v>0</v>
      </c>
      <c r="T520" s="55" t="s">
        <v>1157</v>
      </c>
      <c r="U520" s="55" t="s">
        <v>1165</v>
      </c>
      <c r="V520" s="55" t="s">
        <v>1146</v>
      </c>
      <c r="W520" s="55" t="s">
        <v>1181</v>
      </c>
      <c r="X520" s="55" t="s">
        <v>1163</v>
      </c>
      <c r="Y520" s="55" t="s">
        <v>1274</v>
      </c>
      <c r="Z520" s="55" t="s">
        <v>1182</v>
      </c>
    </row>
    <row r="521" spans="1:26">
      <c r="A521" s="55" t="s">
        <v>1065</v>
      </c>
      <c r="B521" s="55" t="s">
        <v>272</v>
      </c>
      <c r="C521" s="55" t="s">
        <v>1142</v>
      </c>
      <c r="D521" s="55" t="s">
        <v>1143</v>
      </c>
      <c r="E521" s="55" t="s">
        <v>1143</v>
      </c>
      <c r="F521" s="55" t="s">
        <v>73</v>
      </c>
      <c r="G521" s="56">
        <v>1</v>
      </c>
      <c r="H521" s="56">
        <v>1</v>
      </c>
      <c r="I521" s="56">
        <v>0</v>
      </c>
      <c r="J521" s="56">
        <v>1</v>
      </c>
      <c r="K521" s="56">
        <v>0</v>
      </c>
      <c r="L521" s="56">
        <v>0</v>
      </c>
      <c r="M521" s="56">
        <v>0</v>
      </c>
      <c r="N521" s="56">
        <v>0</v>
      </c>
      <c r="O521" s="56">
        <v>9</v>
      </c>
      <c r="P521" s="56">
        <v>1</v>
      </c>
      <c r="Q521" s="56">
        <v>0</v>
      </c>
      <c r="R521" s="56">
        <v>0</v>
      </c>
      <c r="S521" s="56">
        <v>0</v>
      </c>
      <c r="T521" s="55" t="s">
        <v>1162</v>
      </c>
      <c r="U521" s="55" t="s">
        <v>1145</v>
      </c>
      <c r="V521" s="55" t="s">
        <v>1153</v>
      </c>
      <c r="W521" s="55" t="s">
        <v>1168</v>
      </c>
      <c r="X521" s="55" t="s">
        <v>1221</v>
      </c>
      <c r="Y521" s="55" t="s">
        <v>1311</v>
      </c>
      <c r="Z521" s="55" t="s">
        <v>1377</v>
      </c>
    </row>
    <row r="522" spans="1:26">
      <c r="A522" s="55" t="s">
        <v>1066</v>
      </c>
      <c r="B522" s="55" t="s">
        <v>272</v>
      </c>
      <c r="C522" s="55" t="s">
        <v>1142</v>
      </c>
      <c r="D522" s="55" t="s">
        <v>1143</v>
      </c>
      <c r="E522" s="55" t="s">
        <v>1143</v>
      </c>
      <c r="F522" s="55" t="s">
        <v>73</v>
      </c>
      <c r="G522" s="56">
        <v>1</v>
      </c>
      <c r="H522" s="56">
        <v>1</v>
      </c>
      <c r="I522" s="56">
        <v>0</v>
      </c>
      <c r="J522" s="56">
        <v>15</v>
      </c>
      <c r="K522" s="56">
        <v>0</v>
      </c>
      <c r="L522" s="56">
        <v>11920000</v>
      </c>
      <c r="M522" s="56">
        <v>7485271.73</v>
      </c>
      <c r="N522" s="56">
        <v>25726889.11</v>
      </c>
      <c r="O522" s="56">
        <v>73</v>
      </c>
      <c r="P522" s="56">
        <v>0</v>
      </c>
      <c r="Q522" s="56">
        <v>0</v>
      </c>
      <c r="R522" s="56">
        <v>0</v>
      </c>
      <c r="S522" s="56">
        <v>0</v>
      </c>
      <c r="T522" s="55" t="s">
        <v>1167</v>
      </c>
      <c r="U522" s="55" t="s">
        <v>1165</v>
      </c>
      <c r="V522" s="55" t="s">
        <v>1153</v>
      </c>
      <c r="W522" s="55" t="s">
        <v>1180</v>
      </c>
      <c r="X522" s="55" t="s">
        <v>1154</v>
      </c>
      <c r="Y522" s="55" t="s">
        <v>1376</v>
      </c>
      <c r="Z522" s="55" t="s">
        <v>1150</v>
      </c>
    </row>
    <row r="523" spans="1:26">
      <c r="A523" s="55" t="s">
        <v>1067</v>
      </c>
      <c r="B523" s="55" t="s">
        <v>272</v>
      </c>
      <c r="C523" s="55" t="s">
        <v>1142</v>
      </c>
      <c r="D523" s="55" t="s">
        <v>1143</v>
      </c>
      <c r="E523" s="55" t="s">
        <v>1143</v>
      </c>
      <c r="F523" s="55" t="s">
        <v>73</v>
      </c>
      <c r="G523" s="56">
        <v>1</v>
      </c>
      <c r="H523" s="56">
        <v>1</v>
      </c>
      <c r="I523" s="56">
        <v>0</v>
      </c>
      <c r="J523" s="56">
        <v>18</v>
      </c>
      <c r="K523" s="56">
        <v>0</v>
      </c>
      <c r="L523" s="56">
        <v>345680001.49</v>
      </c>
      <c r="M523" s="56">
        <v>4005394.17</v>
      </c>
      <c r="N523" s="56">
        <v>80107883.31</v>
      </c>
      <c r="O523" s="56">
        <v>58</v>
      </c>
      <c r="P523" s="56">
        <v>0</v>
      </c>
      <c r="Q523" s="56">
        <v>0</v>
      </c>
      <c r="R523" s="56">
        <v>0</v>
      </c>
      <c r="S523" s="56">
        <v>0</v>
      </c>
      <c r="T523" s="55" t="s">
        <v>1152</v>
      </c>
      <c r="U523" s="55" t="s">
        <v>1145</v>
      </c>
      <c r="V523" s="55" t="s">
        <v>1146</v>
      </c>
      <c r="W523" s="55" t="s">
        <v>1181</v>
      </c>
      <c r="X523" s="55" t="s">
        <v>1378</v>
      </c>
      <c r="Y523" s="55" t="s">
        <v>1216</v>
      </c>
      <c r="Z523" s="55" t="s">
        <v>1161</v>
      </c>
    </row>
    <row r="524" spans="1:26">
      <c r="A524" s="55" t="s">
        <v>1068</v>
      </c>
      <c r="B524" s="55" t="s">
        <v>272</v>
      </c>
      <c r="C524" s="55" t="s">
        <v>1142</v>
      </c>
      <c r="D524" s="55" t="s">
        <v>1143</v>
      </c>
      <c r="E524" s="55" t="s">
        <v>1143</v>
      </c>
      <c r="F524" s="55" t="s">
        <v>73</v>
      </c>
      <c r="G524" s="56">
        <v>1</v>
      </c>
      <c r="H524" s="56">
        <v>1</v>
      </c>
      <c r="I524" s="56">
        <v>0</v>
      </c>
      <c r="J524" s="56">
        <v>7</v>
      </c>
      <c r="K524" s="56">
        <v>0</v>
      </c>
      <c r="L524" s="56">
        <v>432100000</v>
      </c>
      <c r="M524" s="56">
        <v>16056688.19</v>
      </c>
      <c r="N524" s="56">
        <v>321133763.8</v>
      </c>
      <c r="O524" s="56">
        <v>153</v>
      </c>
      <c r="P524" s="56">
        <v>0</v>
      </c>
      <c r="Q524" s="56">
        <v>0</v>
      </c>
      <c r="R524" s="56">
        <v>0</v>
      </c>
      <c r="S524" s="56">
        <v>0</v>
      </c>
      <c r="T524" s="55" t="s">
        <v>1255</v>
      </c>
      <c r="U524" s="55" t="s">
        <v>1145</v>
      </c>
      <c r="V524" s="55" t="s">
        <v>1146</v>
      </c>
      <c r="W524" s="55" t="s">
        <v>1180</v>
      </c>
      <c r="X524" s="55" t="s">
        <v>1148</v>
      </c>
      <c r="Y524" s="55" t="s">
        <v>1274</v>
      </c>
      <c r="Z524" s="55" t="s">
        <v>1209</v>
      </c>
    </row>
    <row r="525" spans="1:26">
      <c r="A525" s="55" t="s">
        <v>1069</v>
      </c>
      <c r="B525" s="55" t="s">
        <v>272</v>
      </c>
      <c r="C525" s="55" t="s">
        <v>1142</v>
      </c>
      <c r="D525" s="55" t="s">
        <v>1143</v>
      </c>
      <c r="E525" s="55" t="s">
        <v>1143</v>
      </c>
      <c r="F525" s="55" t="s">
        <v>73</v>
      </c>
      <c r="G525" s="56">
        <v>1</v>
      </c>
      <c r="H525" s="56">
        <v>1</v>
      </c>
      <c r="I525" s="56">
        <v>0</v>
      </c>
      <c r="J525" s="56">
        <v>16</v>
      </c>
      <c r="K525" s="56">
        <v>0</v>
      </c>
      <c r="L525" s="56">
        <v>224990000</v>
      </c>
      <c r="M525" s="56">
        <v>7847292.51</v>
      </c>
      <c r="N525" s="56">
        <v>140849450.08</v>
      </c>
      <c r="O525" s="56">
        <v>180</v>
      </c>
      <c r="P525" s="56">
        <v>0</v>
      </c>
      <c r="Q525" s="56">
        <v>0</v>
      </c>
      <c r="R525" s="56">
        <v>0</v>
      </c>
      <c r="S525" s="56">
        <v>0</v>
      </c>
      <c r="T525" s="55" t="s">
        <v>1157</v>
      </c>
      <c r="U525" s="55" t="s">
        <v>1165</v>
      </c>
      <c r="V525" s="55" t="s">
        <v>1153</v>
      </c>
      <c r="W525" s="55" t="s">
        <v>1180</v>
      </c>
      <c r="X525" s="55" t="s">
        <v>1154</v>
      </c>
      <c r="Y525" s="55" t="s">
        <v>1276</v>
      </c>
      <c r="Z525" s="55" t="s">
        <v>1230</v>
      </c>
    </row>
    <row r="526" spans="1:26">
      <c r="A526" s="55" t="s">
        <v>1070</v>
      </c>
      <c r="B526" s="55" t="s">
        <v>272</v>
      </c>
      <c r="C526" s="55" t="s">
        <v>1142</v>
      </c>
      <c r="D526" s="55" t="s">
        <v>1143</v>
      </c>
      <c r="E526" s="55" t="s">
        <v>1143</v>
      </c>
      <c r="F526" s="55" t="s">
        <v>73</v>
      </c>
      <c r="G526" s="56">
        <v>1</v>
      </c>
      <c r="H526" s="56">
        <v>1</v>
      </c>
      <c r="I526" s="56">
        <v>0</v>
      </c>
      <c r="J526" s="56">
        <v>148</v>
      </c>
      <c r="K526" s="56">
        <v>0</v>
      </c>
      <c r="L526" s="56">
        <v>18470653.52</v>
      </c>
      <c r="M526" s="56">
        <v>2831911.77</v>
      </c>
      <c r="N526" s="56">
        <v>17299266.75</v>
      </c>
      <c r="O526" s="56">
        <v>121</v>
      </c>
      <c r="P526" s="56">
        <v>0</v>
      </c>
      <c r="Q526" s="56">
        <v>0</v>
      </c>
      <c r="R526" s="56">
        <v>0</v>
      </c>
      <c r="S526" s="56">
        <v>0</v>
      </c>
      <c r="T526" s="55" t="s">
        <v>1173</v>
      </c>
      <c r="U526" s="55" t="s">
        <v>1165</v>
      </c>
      <c r="V526" s="55" t="s">
        <v>1146</v>
      </c>
      <c r="W526" s="55" t="s">
        <v>1158</v>
      </c>
      <c r="X526" s="55" t="s">
        <v>1258</v>
      </c>
      <c r="Y526" s="55" t="s">
        <v>1274</v>
      </c>
      <c r="Z526" s="55" t="s">
        <v>1193</v>
      </c>
    </row>
    <row r="527" spans="1:26">
      <c r="A527" s="55" t="s">
        <v>1071</v>
      </c>
      <c r="B527" s="55" t="s">
        <v>272</v>
      </c>
      <c r="C527" s="55" t="s">
        <v>1142</v>
      </c>
      <c r="D527" s="55" t="s">
        <v>1143</v>
      </c>
      <c r="E527" s="55" t="s">
        <v>1143</v>
      </c>
      <c r="F527" s="55" t="s">
        <v>73</v>
      </c>
      <c r="G527" s="56">
        <v>1</v>
      </c>
      <c r="H527" s="56">
        <v>1</v>
      </c>
      <c r="I527" s="56">
        <v>0</v>
      </c>
      <c r="J527" s="56">
        <v>14</v>
      </c>
      <c r="K527" s="56">
        <v>0</v>
      </c>
      <c r="L527" s="56">
        <v>405280000</v>
      </c>
      <c r="M527" s="56">
        <v>55127766.42</v>
      </c>
      <c r="N527" s="56">
        <v>2479281881.83</v>
      </c>
      <c r="O527" s="56">
        <v>135</v>
      </c>
      <c r="P527" s="56">
        <v>0</v>
      </c>
      <c r="Q527" s="56">
        <v>0</v>
      </c>
      <c r="R527" s="56">
        <v>0</v>
      </c>
      <c r="S527" s="56">
        <v>0</v>
      </c>
      <c r="T527" s="55" t="s">
        <v>1167</v>
      </c>
      <c r="U527" s="55" t="s">
        <v>1145</v>
      </c>
      <c r="V527" s="55" t="s">
        <v>1146</v>
      </c>
      <c r="W527" s="55" t="s">
        <v>1147</v>
      </c>
      <c r="X527" s="55" t="s">
        <v>1159</v>
      </c>
      <c r="Y527" s="55" t="s">
        <v>1216</v>
      </c>
      <c r="Z527" s="55" t="s">
        <v>1170</v>
      </c>
    </row>
    <row r="528" spans="1:26">
      <c r="A528" s="55" t="s">
        <v>1072</v>
      </c>
      <c r="B528" s="55" t="s">
        <v>272</v>
      </c>
      <c r="C528" s="55" t="s">
        <v>1142</v>
      </c>
      <c r="D528" s="55" t="s">
        <v>1143</v>
      </c>
      <c r="E528" s="55" t="s">
        <v>1143</v>
      </c>
      <c r="F528" s="55" t="s">
        <v>73</v>
      </c>
      <c r="G528" s="56">
        <v>1</v>
      </c>
      <c r="H528" s="56">
        <v>1</v>
      </c>
      <c r="I528" s="56">
        <v>0</v>
      </c>
      <c r="J528" s="56">
        <v>7</v>
      </c>
      <c r="K528" s="56">
        <v>0</v>
      </c>
      <c r="L528" s="56">
        <v>59600000</v>
      </c>
      <c r="M528" s="56">
        <v>121772.09</v>
      </c>
      <c r="N528" s="56">
        <v>2435441.84</v>
      </c>
      <c r="O528" s="56">
        <v>91</v>
      </c>
      <c r="P528" s="56">
        <v>0</v>
      </c>
      <c r="Q528" s="56">
        <v>0</v>
      </c>
      <c r="R528" s="56">
        <v>0</v>
      </c>
      <c r="S528" s="56">
        <v>0</v>
      </c>
      <c r="T528" s="55" t="s">
        <v>1157</v>
      </c>
      <c r="U528" s="55" t="s">
        <v>1165</v>
      </c>
      <c r="V528" s="55" t="s">
        <v>1153</v>
      </c>
      <c r="W528" s="55" t="s">
        <v>1168</v>
      </c>
      <c r="X528" s="55" t="s">
        <v>1154</v>
      </c>
      <c r="Y528" s="55" t="s">
        <v>1216</v>
      </c>
      <c r="Z528" s="55" t="s">
        <v>1179</v>
      </c>
    </row>
    <row r="529" spans="1:26">
      <c r="A529" s="55" t="s">
        <v>1073</v>
      </c>
      <c r="B529" s="55" t="s">
        <v>272</v>
      </c>
      <c r="C529" s="55" t="s">
        <v>1142</v>
      </c>
      <c r="D529" s="55" t="s">
        <v>1143</v>
      </c>
      <c r="E529" s="55" t="s">
        <v>1143</v>
      </c>
      <c r="F529" s="55" t="s">
        <v>73</v>
      </c>
      <c r="G529" s="56">
        <v>1</v>
      </c>
      <c r="H529" s="56">
        <v>1</v>
      </c>
      <c r="I529" s="56">
        <v>0</v>
      </c>
      <c r="J529" s="56">
        <v>2</v>
      </c>
      <c r="K529" s="56">
        <v>0</v>
      </c>
      <c r="L529" s="56">
        <v>14900000</v>
      </c>
      <c r="M529" s="56">
        <v>339157.94</v>
      </c>
      <c r="N529" s="56">
        <v>6783158.73</v>
      </c>
      <c r="O529" s="56">
        <v>51</v>
      </c>
      <c r="P529" s="56">
        <v>0</v>
      </c>
      <c r="Q529" s="56">
        <v>0</v>
      </c>
      <c r="R529" s="56">
        <v>0</v>
      </c>
      <c r="S529" s="56">
        <v>0</v>
      </c>
      <c r="T529" s="55" t="s">
        <v>1167</v>
      </c>
      <c r="U529" s="55" t="s">
        <v>1145</v>
      </c>
      <c r="V529" s="55" t="s">
        <v>1153</v>
      </c>
      <c r="W529" s="55" t="s">
        <v>1147</v>
      </c>
      <c r="X529" s="55" t="s">
        <v>1228</v>
      </c>
      <c r="Y529" s="55" t="s">
        <v>1276</v>
      </c>
      <c r="Z529" s="55" t="s">
        <v>1185</v>
      </c>
    </row>
    <row r="530" spans="1:26">
      <c r="A530" s="55" t="s">
        <v>1074</v>
      </c>
      <c r="B530" s="55" t="s">
        <v>546</v>
      </c>
      <c r="C530" s="55" t="s">
        <v>1151</v>
      </c>
      <c r="D530" s="55" t="s">
        <v>87</v>
      </c>
      <c r="E530" s="55" t="s">
        <v>87</v>
      </c>
      <c r="F530" s="55" t="s">
        <v>75</v>
      </c>
      <c r="G530" s="56">
        <v>5</v>
      </c>
      <c r="H530" s="56">
        <v>5</v>
      </c>
      <c r="I530" s="56">
        <v>367</v>
      </c>
      <c r="J530" s="56">
        <v>8</v>
      </c>
      <c r="K530" s="56">
        <v>0</v>
      </c>
      <c r="L530" s="56">
        <v>0</v>
      </c>
      <c r="M530" s="56">
        <v>28951180.54</v>
      </c>
      <c r="N530" s="56">
        <v>575274914.4300001</v>
      </c>
      <c r="O530" s="56">
        <v>108</v>
      </c>
      <c r="P530" s="56">
        <v>1</v>
      </c>
      <c r="Q530" s="56">
        <v>0</v>
      </c>
      <c r="R530" s="56">
        <v>1</v>
      </c>
      <c r="S530" s="56">
        <v>1</v>
      </c>
      <c r="T530" s="55" t="s">
        <v>1157</v>
      </c>
      <c r="U530" s="55" t="s">
        <v>1165</v>
      </c>
      <c r="V530" s="55" t="s">
        <v>1153</v>
      </c>
      <c r="W530" s="55" t="s">
        <v>1180</v>
      </c>
      <c r="X530" s="55" t="s">
        <v>1154</v>
      </c>
      <c r="Y530" s="55" t="s">
        <v>1155</v>
      </c>
      <c r="Z530" s="55" t="s">
        <v>1239</v>
      </c>
    </row>
    <row r="531" spans="1:26">
      <c r="A531" s="55" t="s">
        <v>1075</v>
      </c>
      <c r="B531" s="55" t="s">
        <v>272</v>
      </c>
      <c r="C531" s="55" t="s">
        <v>1142</v>
      </c>
      <c r="D531" s="55" t="s">
        <v>1143</v>
      </c>
      <c r="E531" s="55" t="s">
        <v>1143</v>
      </c>
      <c r="F531" s="55" t="s">
        <v>73</v>
      </c>
      <c r="G531" s="56">
        <v>1</v>
      </c>
      <c r="H531" s="56">
        <v>1</v>
      </c>
      <c r="I531" s="56">
        <v>0</v>
      </c>
      <c r="J531" s="56">
        <v>7</v>
      </c>
      <c r="K531" s="56">
        <v>0</v>
      </c>
      <c r="L531" s="56">
        <v>289060000</v>
      </c>
      <c r="M531" s="56">
        <v>23064033.01</v>
      </c>
      <c r="N531" s="56">
        <v>871740669.11</v>
      </c>
      <c r="O531" s="56">
        <v>120</v>
      </c>
      <c r="P531" s="56">
        <v>0</v>
      </c>
      <c r="Q531" s="56">
        <v>0</v>
      </c>
      <c r="R531" s="56">
        <v>0</v>
      </c>
      <c r="S531" s="56">
        <v>0</v>
      </c>
      <c r="T531" s="55" t="s">
        <v>1152</v>
      </c>
      <c r="U531" s="55" t="s">
        <v>1145</v>
      </c>
      <c r="V531" s="55" t="s">
        <v>1153</v>
      </c>
      <c r="W531" s="55" t="s">
        <v>1180</v>
      </c>
      <c r="X531" s="55" t="s">
        <v>1154</v>
      </c>
      <c r="Y531" s="55" t="s">
        <v>1276</v>
      </c>
      <c r="Z531" s="55" t="s">
        <v>1299</v>
      </c>
    </row>
    <row r="532" spans="1:26">
      <c r="A532" s="55" t="s">
        <v>1076</v>
      </c>
      <c r="B532" s="55" t="s">
        <v>546</v>
      </c>
      <c r="C532" s="55" t="s">
        <v>1151</v>
      </c>
      <c r="D532" s="55" t="s">
        <v>87</v>
      </c>
      <c r="E532" s="55" t="s">
        <v>87</v>
      </c>
      <c r="F532" s="55" t="s">
        <v>75</v>
      </c>
      <c r="G532" s="56">
        <v>5</v>
      </c>
      <c r="H532" s="56">
        <v>5</v>
      </c>
      <c r="I532" s="56">
        <v>1121</v>
      </c>
      <c r="J532" s="56">
        <v>78</v>
      </c>
      <c r="K532" s="56">
        <v>1</v>
      </c>
      <c r="L532" s="56">
        <v>0</v>
      </c>
      <c r="M532" s="56">
        <v>3293936.29</v>
      </c>
      <c r="N532" s="56">
        <v>160878305.59</v>
      </c>
      <c r="O532" s="56">
        <v>102</v>
      </c>
      <c r="P532" s="56">
        <v>1</v>
      </c>
      <c r="Q532" s="56">
        <v>0</v>
      </c>
      <c r="R532" s="56">
        <v>1</v>
      </c>
      <c r="S532" s="56">
        <v>1</v>
      </c>
      <c r="T532" s="55" t="s">
        <v>1152</v>
      </c>
      <c r="U532" s="55" t="s">
        <v>1145</v>
      </c>
      <c r="V532" s="55" t="s">
        <v>1146</v>
      </c>
      <c r="W532" s="55" t="s">
        <v>1147</v>
      </c>
      <c r="X532" s="55" t="s">
        <v>1154</v>
      </c>
      <c r="Y532" s="55" t="s">
        <v>1276</v>
      </c>
      <c r="Z532" s="55" t="s">
        <v>1185</v>
      </c>
    </row>
    <row r="533" spans="1:26">
      <c r="A533" s="55" t="s">
        <v>1077</v>
      </c>
      <c r="B533" s="55" t="s">
        <v>272</v>
      </c>
      <c r="C533" s="55" t="s">
        <v>1142</v>
      </c>
      <c r="D533" s="55" t="s">
        <v>1143</v>
      </c>
      <c r="E533" s="55" t="s">
        <v>1143</v>
      </c>
      <c r="F533" s="55" t="s">
        <v>73</v>
      </c>
      <c r="G533" s="56">
        <v>1</v>
      </c>
      <c r="H533" s="56">
        <v>1</v>
      </c>
      <c r="I533" s="56">
        <v>0</v>
      </c>
      <c r="J533" s="56">
        <v>17</v>
      </c>
      <c r="K533" s="56">
        <v>0</v>
      </c>
      <c r="L533" s="56">
        <v>54832000</v>
      </c>
      <c r="M533" s="56">
        <v>464074.14</v>
      </c>
      <c r="N533" s="56">
        <v>9281482.85</v>
      </c>
      <c r="O533" s="56">
        <v>38</v>
      </c>
      <c r="P533" s="56">
        <v>0</v>
      </c>
      <c r="Q533" s="56">
        <v>0</v>
      </c>
      <c r="R533" s="56">
        <v>0</v>
      </c>
      <c r="S533" s="56">
        <v>0</v>
      </c>
      <c r="T533" s="55" t="s">
        <v>1162</v>
      </c>
      <c r="U533" s="55" t="s">
        <v>1145</v>
      </c>
      <c r="V533" s="55" t="s">
        <v>1153</v>
      </c>
      <c r="W533" s="55" t="s">
        <v>1180</v>
      </c>
      <c r="X533" s="55" t="s">
        <v>1154</v>
      </c>
      <c r="Y533" s="55" t="s">
        <v>1276</v>
      </c>
      <c r="Z533" s="55" t="s">
        <v>1230</v>
      </c>
    </row>
    <row r="534" spans="1:26">
      <c r="A534" s="55" t="s">
        <v>1078</v>
      </c>
      <c r="B534" s="55" t="s">
        <v>272</v>
      </c>
      <c r="C534" s="55" t="s">
        <v>1142</v>
      </c>
      <c r="D534" s="55" t="s">
        <v>1143</v>
      </c>
      <c r="E534" s="55" t="s">
        <v>1143</v>
      </c>
      <c r="F534" s="55" t="s">
        <v>73</v>
      </c>
      <c r="G534" s="56">
        <v>1</v>
      </c>
      <c r="H534" s="56">
        <v>1</v>
      </c>
      <c r="I534" s="56">
        <v>0</v>
      </c>
      <c r="J534" s="56">
        <v>1</v>
      </c>
      <c r="K534" s="56">
        <v>0</v>
      </c>
      <c r="L534" s="56">
        <v>29800000</v>
      </c>
      <c r="M534" s="56">
        <v>47872.45</v>
      </c>
      <c r="N534" s="56">
        <v>957449.02</v>
      </c>
      <c r="O534" s="56">
        <v>62</v>
      </c>
      <c r="P534" s="56">
        <v>0</v>
      </c>
      <c r="Q534" s="56">
        <v>0</v>
      </c>
      <c r="R534" s="56">
        <v>0</v>
      </c>
      <c r="S534" s="56">
        <v>0</v>
      </c>
      <c r="T534" s="55" t="s">
        <v>1173</v>
      </c>
      <c r="U534" s="55" t="s">
        <v>1145</v>
      </c>
      <c r="V534" s="55" t="s">
        <v>1146</v>
      </c>
      <c r="W534" s="55" t="s">
        <v>1147</v>
      </c>
      <c r="X534" s="55" t="s">
        <v>1154</v>
      </c>
      <c r="Y534" s="55" t="s">
        <v>1276</v>
      </c>
      <c r="Z534" s="55" t="s">
        <v>1156</v>
      </c>
    </row>
    <row r="535" spans="1:26">
      <c r="A535" s="55" t="s">
        <v>1079</v>
      </c>
      <c r="B535" s="55" t="s">
        <v>272</v>
      </c>
      <c r="C535" s="55" t="s">
        <v>1142</v>
      </c>
      <c r="D535" s="55" t="s">
        <v>1143</v>
      </c>
      <c r="E535" s="55" t="s">
        <v>1143</v>
      </c>
      <c r="F535" s="55" t="s">
        <v>73</v>
      </c>
      <c r="G535" s="56">
        <v>1</v>
      </c>
      <c r="H535" s="56">
        <v>1</v>
      </c>
      <c r="I535" s="56">
        <v>0</v>
      </c>
      <c r="J535" s="56">
        <v>2</v>
      </c>
      <c r="K535" s="56">
        <v>0</v>
      </c>
      <c r="L535" s="56">
        <v>29800000</v>
      </c>
      <c r="M535" s="56">
        <v>237132.02</v>
      </c>
      <c r="N535" s="56">
        <v>4742640.35</v>
      </c>
      <c r="O535" s="56">
        <v>59</v>
      </c>
      <c r="P535" s="56">
        <v>0</v>
      </c>
      <c r="Q535" s="56">
        <v>0</v>
      </c>
      <c r="R535" s="56">
        <v>0</v>
      </c>
      <c r="S535" s="56">
        <v>0</v>
      </c>
      <c r="T535" s="55" t="s">
        <v>1152</v>
      </c>
      <c r="U535" s="55" t="s">
        <v>1145</v>
      </c>
      <c r="V535" s="55" t="s">
        <v>1153</v>
      </c>
      <c r="W535" s="55" t="s">
        <v>1147</v>
      </c>
      <c r="X535" s="55" t="s">
        <v>1154</v>
      </c>
      <c r="Y535" s="55" t="s">
        <v>1155</v>
      </c>
      <c r="Z535" s="55" t="s">
        <v>1252</v>
      </c>
    </row>
    <row r="536" spans="1:26">
      <c r="A536" s="55" t="s">
        <v>1080</v>
      </c>
      <c r="B536" s="55" t="s">
        <v>272</v>
      </c>
      <c r="C536" s="55" t="s">
        <v>1142</v>
      </c>
      <c r="D536" s="55" t="s">
        <v>1143</v>
      </c>
      <c r="E536" s="55" t="s">
        <v>1143</v>
      </c>
      <c r="F536" s="55" t="s">
        <v>73</v>
      </c>
      <c r="G536" s="56">
        <v>1</v>
      </c>
      <c r="H536" s="56">
        <v>1</v>
      </c>
      <c r="I536" s="56">
        <v>0</v>
      </c>
      <c r="J536" s="56">
        <v>38</v>
      </c>
      <c r="K536" s="56">
        <v>0</v>
      </c>
      <c r="L536" s="56">
        <v>3623079.53</v>
      </c>
      <c r="M536" s="56">
        <v>2928957.17</v>
      </c>
      <c r="N536" s="56">
        <v>3623079.53</v>
      </c>
      <c r="O536" s="56">
        <v>32</v>
      </c>
      <c r="P536" s="56">
        <v>0</v>
      </c>
      <c r="Q536" s="56">
        <v>0</v>
      </c>
      <c r="R536" s="56">
        <v>0</v>
      </c>
      <c r="S536" s="56">
        <v>0</v>
      </c>
      <c r="T536" s="55" t="s">
        <v>1157</v>
      </c>
      <c r="U536" s="55" t="s">
        <v>1145</v>
      </c>
      <c r="V536" s="55" t="s">
        <v>1153</v>
      </c>
      <c r="W536" s="55" t="s">
        <v>1168</v>
      </c>
      <c r="X536" s="55" t="s">
        <v>1154</v>
      </c>
      <c r="Y536" s="55" t="s">
        <v>1210</v>
      </c>
      <c r="Z536" s="55" t="s">
        <v>1230</v>
      </c>
    </row>
    <row r="537" spans="1:26">
      <c r="A537" s="55" t="s">
        <v>1081</v>
      </c>
      <c r="B537" s="55" t="s">
        <v>272</v>
      </c>
      <c r="C537" s="55" t="s">
        <v>1142</v>
      </c>
      <c r="D537" s="55" t="s">
        <v>1143</v>
      </c>
      <c r="E537" s="55" t="s">
        <v>1143</v>
      </c>
      <c r="F537" s="55" t="s">
        <v>73</v>
      </c>
      <c r="G537" s="56">
        <v>1</v>
      </c>
      <c r="H537" s="56">
        <v>1</v>
      </c>
      <c r="I537" s="56">
        <v>0</v>
      </c>
      <c r="J537" s="56">
        <v>17</v>
      </c>
      <c r="K537" s="56">
        <v>0</v>
      </c>
      <c r="L537" s="56">
        <v>15182661.72</v>
      </c>
      <c r="M537" s="56">
        <v>9325642.289999999</v>
      </c>
      <c r="N537" s="56">
        <v>239887668.82</v>
      </c>
      <c r="O537" s="56">
        <v>62</v>
      </c>
      <c r="P537" s="56">
        <v>0</v>
      </c>
      <c r="Q537" s="56">
        <v>0</v>
      </c>
      <c r="R537" s="56">
        <v>0</v>
      </c>
      <c r="S537" s="56">
        <v>0</v>
      </c>
      <c r="T537" s="55" t="s">
        <v>1152</v>
      </c>
      <c r="U537" s="55" t="s">
        <v>1145</v>
      </c>
      <c r="V537" s="55" t="s">
        <v>1146</v>
      </c>
      <c r="W537" s="55" t="s">
        <v>1168</v>
      </c>
      <c r="X537" s="55" t="s">
        <v>1154</v>
      </c>
      <c r="Y537" s="55" t="s">
        <v>1379</v>
      </c>
      <c r="Z537" s="55" t="s">
        <v>1166</v>
      </c>
    </row>
    <row r="538" spans="1:26">
      <c r="A538" s="55" t="s">
        <v>1082</v>
      </c>
      <c r="B538" s="55" t="s">
        <v>272</v>
      </c>
      <c r="C538" s="55" t="s">
        <v>1142</v>
      </c>
      <c r="D538" s="55" t="s">
        <v>1143</v>
      </c>
      <c r="E538" s="55" t="s">
        <v>1143</v>
      </c>
      <c r="F538" s="55" t="s">
        <v>73</v>
      </c>
      <c r="G538" s="56">
        <v>1</v>
      </c>
      <c r="H538" s="56">
        <v>1</v>
      </c>
      <c r="I538" s="56">
        <v>0</v>
      </c>
      <c r="J538" s="56">
        <v>1</v>
      </c>
      <c r="K538" s="56">
        <v>0</v>
      </c>
      <c r="L538" s="56">
        <v>0</v>
      </c>
      <c r="M538" s="56">
        <v>10475239.95</v>
      </c>
      <c r="N538" s="56">
        <v>200636328.5</v>
      </c>
      <c r="O538" s="56">
        <v>54</v>
      </c>
      <c r="P538" s="56">
        <v>1</v>
      </c>
      <c r="Q538" s="56">
        <v>0</v>
      </c>
      <c r="R538" s="56">
        <v>0</v>
      </c>
      <c r="S538" s="56">
        <v>0</v>
      </c>
      <c r="T538" s="55" t="s">
        <v>1157</v>
      </c>
      <c r="U538" s="55" t="s">
        <v>1145</v>
      </c>
      <c r="V538" s="55" t="s">
        <v>1153</v>
      </c>
      <c r="W538" s="55" t="s">
        <v>1168</v>
      </c>
      <c r="X538" s="55" t="s">
        <v>1154</v>
      </c>
      <c r="Y538" s="55" t="s">
        <v>1354</v>
      </c>
      <c r="Z538" s="55" t="s">
        <v>1229</v>
      </c>
    </row>
    <row r="539" spans="1:26">
      <c r="A539" s="55" t="s">
        <v>1083</v>
      </c>
      <c r="B539" s="55" t="s">
        <v>272</v>
      </c>
      <c r="C539" s="55" t="s">
        <v>1142</v>
      </c>
      <c r="D539" s="55" t="s">
        <v>1143</v>
      </c>
      <c r="E539" s="55" t="s">
        <v>1143</v>
      </c>
      <c r="F539" s="55" t="s">
        <v>73</v>
      </c>
      <c r="G539" s="56">
        <v>1</v>
      </c>
      <c r="H539" s="56">
        <v>1</v>
      </c>
      <c r="I539" s="56">
        <v>0</v>
      </c>
      <c r="J539" s="56">
        <v>1</v>
      </c>
      <c r="K539" s="56">
        <v>0</v>
      </c>
      <c r="L539" s="56">
        <v>0</v>
      </c>
      <c r="M539" s="56">
        <v>8641762.279999999</v>
      </c>
      <c r="N539" s="56">
        <v>380688076.5</v>
      </c>
      <c r="O539" s="56">
        <v>7</v>
      </c>
      <c r="P539" s="56">
        <v>1</v>
      </c>
      <c r="Q539" s="56">
        <v>0</v>
      </c>
      <c r="R539" s="56">
        <v>0</v>
      </c>
      <c r="S539" s="56">
        <v>0</v>
      </c>
      <c r="T539" s="55" t="s">
        <v>1157</v>
      </c>
      <c r="U539" s="55" t="s">
        <v>1165</v>
      </c>
      <c r="V539" s="55" t="s">
        <v>1153</v>
      </c>
      <c r="W539" s="55" t="s">
        <v>1147</v>
      </c>
      <c r="X539" s="55" t="s">
        <v>1159</v>
      </c>
      <c r="Y539" s="55" t="s">
        <v>1380</v>
      </c>
      <c r="Z539" s="55" t="s">
        <v>1185</v>
      </c>
    </row>
    <row r="540" spans="1:26">
      <c r="A540" s="55" t="s">
        <v>1084</v>
      </c>
      <c r="B540" s="55" t="s">
        <v>272</v>
      </c>
      <c r="C540" s="55" t="s">
        <v>1236</v>
      </c>
      <c r="D540" s="55" t="s">
        <v>87</v>
      </c>
      <c r="E540" s="55" t="s">
        <v>87</v>
      </c>
      <c r="F540" s="55" t="s">
        <v>75</v>
      </c>
      <c r="G540" s="56">
        <v>5</v>
      </c>
      <c r="H540" s="56">
        <v>5</v>
      </c>
      <c r="I540" s="56">
        <v>1154</v>
      </c>
      <c r="J540" s="56">
        <v>11</v>
      </c>
      <c r="K540" s="56">
        <v>1</v>
      </c>
      <c r="L540" s="56">
        <v>0</v>
      </c>
      <c r="M540" s="56">
        <v>521511.45</v>
      </c>
      <c r="N540" s="56">
        <v>2912404.66</v>
      </c>
      <c r="O540" s="56">
        <v>63</v>
      </c>
      <c r="P540" s="56">
        <v>1</v>
      </c>
      <c r="Q540" s="56">
        <v>1</v>
      </c>
      <c r="R540" s="56">
        <v>1</v>
      </c>
      <c r="S540" s="56">
        <v>1</v>
      </c>
      <c r="T540" s="55" t="s">
        <v>1167</v>
      </c>
      <c r="U540" s="55" t="s">
        <v>1145</v>
      </c>
      <c r="V540" s="55" t="s">
        <v>1153</v>
      </c>
      <c r="W540" s="55" t="s">
        <v>1168</v>
      </c>
      <c r="X540" s="55" t="s">
        <v>1378</v>
      </c>
      <c r="Y540" s="55" t="s">
        <v>1381</v>
      </c>
      <c r="Z540" s="55" t="s">
        <v>1185</v>
      </c>
    </row>
    <row r="541" spans="1:26">
      <c r="A541" s="55" t="s">
        <v>1085</v>
      </c>
      <c r="B541" s="55" t="s">
        <v>272</v>
      </c>
      <c r="C541" s="55" t="s">
        <v>1187</v>
      </c>
      <c r="D541" s="55" t="s">
        <v>1188</v>
      </c>
      <c r="E541" s="55" t="s">
        <v>1188</v>
      </c>
      <c r="F541" s="55" t="s">
        <v>74</v>
      </c>
      <c r="G541" s="56">
        <v>2</v>
      </c>
      <c r="H541" s="56">
        <v>2</v>
      </c>
      <c r="I541" s="56">
        <v>0</v>
      </c>
      <c r="J541" s="56">
        <v>3</v>
      </c>
      <c r="K541" s="56">
        <v>0</v>
      </c>
      <c r="L541" s="56">
        <v>22350000</v>
      </c>
      <c r="M541" s="56">
        <v>0</v>
      </c>
      <c r="N541" s="56">
        <v>0</v>
      </c>
      <c r="O541" s="56">
        <v>162</v>
      </c>
      <c r="P541" s="56">
        <v>0</v>
      </c>
      <c r="Q541" s="56">
        <v>0</v>
      </c>
      <c r="R541" s="56">
        <v>0</v>
      </c>
      <c r="S541" s="56">
        <v>0</v>
      </c>
      <c r="T541" s="55" t="s">
        <v>1173</v>
      </c>
      <c r="U541" s="55" t="s">
        <v>1145</v>
      </c>
      <c r="V541" s="55" t="s">
        <v>1146</v>
      </c>
      <c r="Z541" s="55" t="s">
        <v>1220</v>
      </c>
    </row>
    <row r="542" spans="1:26">
      <c r="A542" s="55" t="s">
        <v>1086</v>
      </c>
      <c r="B542" s="55" t="s">
        <v>272</v>
      </c>
      <c r="C542" s="55" t="s">
        <v>1142</v>
      </c>
      <c r="D542" s="55" t="s">
        <v>1143</v>
      </c>
      <c r="E542" s="55" t="s">
        <v>1143</v>
      </c>
      <c r="F542" s="55" t="s">
        <v>73</v>
      </c>
      <c r="G542" s="56">
        <v>1</v>
      </c>
      <c r="H542" s="56">
        <v>1</v>
      </c>
      <c r="I542" s="56">
        <v>0</v>
      </c>
      <c r="J542" s="56">
        <v>2</v>
      </c>
      <c r="K542" s="56">
        <v>0</v>
      </c>
      <c r="L542" s="56">
        <v>46935000</v>
      </c>
      <c r="M542" s="56">
        <v>2186368.63</v>
      </c>
      <c r="N542" s="56">
        <v>43727372.64</v>
      </c>
      <c r="O542" s="56">
        <v>126</v>
      </c>
      <c r="P542" s="56">
        <v>0</v>
      </c>
      <c r="Q542" s="56">
        <v>0</v>
      </c>
      <c r="R542" s="56">
        <v>0</v>
      </c>
      <c r="S542" s="56">
        <v>0</v>
      </c>
      <c r="T542" s="55" t="s">
        <v>1167</v>
      </c>
      <c r="U542" s="55" t="s">
        <v>1165</v>
      </c>
      <c r="V542" s="55" t="s">
        <v>1146</v>
      </c>
      <c r="W542" s="55" t="s">
        <v>1168</v>
      </c>
      <c r="X542" s="55" t="s">
        <v>1148</v>
      </c>
      <c r="Y542" s="55" t="s">
        <v>1210</v>
      </c>
      <c r="Z542" s="55" t="s">
        <v>1211</v>
      </c>
    </row>
    <row r="543" spans="1:26">
      <c r="A543" s="55" t="s">
        <v>1087</v>
      </c>
      <c r="B543" s="55" t="s">
        <v>272</v>
      </c>
      <c r="C543" s="55" t="s">
        <v>1142</v>
      </c>
      <c r="D543" s="55" t="s">
        <v>1143</v>
      </c>
      <c r="E543" s="55" t="s">
        <v>1143</v>
      </c>
      <c r="F543" s="55" t="s">
        <v>73</v>
      </c>
      <c r="G543" s="56">
        <v>1</v>
      </c>
      <c r="H543" s="56">
        <v>1</v>
      </c>
      <c r="I543" s="56">
        <v>0</v>
      </c>
      <c r="J543" s="56">
        <v>2</v>
      </c>
      <c r="K543" s="56">
        <v>0</v>
      </c>
      <c r="L543" s="56">
        <v>409750000</v>
      </c>
      <c r="M543" s="56">
        <v>1472708.89</v>
      </c>
      <c r="N543" s="56">
        <v>29454177.86</v>
      </c>
      <c r="O543" s="56">
        <v>206</v>
      </c>
      <c r="P543" s="56">
        <v>0</v>
      </c>
      <c r="Q543" s="56">
        <v>0</v>
      </c>
      <c r="R543" s="56">
        <v>0</v>
      </c>
      <c r="S543" s="56">
        <v>0</v>
      </c>
      <c r="T543" s="55" t="s">
        <v>1152</v>
      </c>
      <c r="U543" s="55" t="s">
        <v>1165</v>
      </c>
      <c r="V543" s="55" t="s">
        <v>1146</v>
      </c>
      <c r="W543" s="55" t="s">
        <v>1147</v>
      </c>
      <c r="X543" s="55" t="s">
        <v>1148</v>
      </c>
      <c r="Y543" s="55" t="s">
        <v>1316</v>
      </c>
      <c r="Z543" s="55" t="s">
        <v>1177</v>
      </c>
    </row>
    <row r="544" spans="1:26">
      <c r="A544" s="55" t="s">
        <v>1088</v>
      </c>
      <c r="B544" s="55" t="s">
        <v>272</v>
      </c>
      <c r="C544" s="55" t="s">
        <v>1142</v>
      </c>
      <c r="D544" s="55" t="s">
        <v>1143</v>
      </c>
      <c r="E544" s="55" t="s">
        <v>1143</v>
      </c>
      <c r="F544" s="55" t="s">
        <v>73</v>
      </c>
      <c r="G544" s="56">
        <v>1</v>
      </c>
      <c r="H544" s="56">
        <v>1</v>
      </c>
      <c r="I544" s="56">
        <v>0</v>
      </c>
      <c r="J544" s="56">
        <v>37</v>
      </c>
      <c r="K544" s="56">
        <v>0</v>
      </c>
      <c r="L544" s="56">
        <v>14900000</v>
      </c>
      <c r="M544" s="56">
        <v>2680</v>
      </c>
      <c r="N544" s="56">
        <v>53600</v>
      </c>
      <c r="O544" s="56">
        <v>43</v>
      </c>
      <c r="P544" s="56">
        <v>0</v>
      </c>
      <c r="Q544" s="56">
        <v>0</v>
      </c>
      <c r="R544" s="56">
        <v>0</v>
      </c>
      <c r="S544" s="56">
        <v>0</v>
      </c>
      <c r="T544" s="55" t="s">
        <v>1157</v>
      </c>
      <c r="U544" s="55" t="s">
        <v>1145</v>
      </c>
      <c r="V544" s="55" t="s">
        <v>1153</v>
      </c>
      <c r="W544" s="55" t="s">
        <v>1147</v>
      </c>
      <c r="X544" s="55" t="s">
        <v>1221</v>
      </c>
      <c r="Y544" s="55" t="s">
        <v>1316</v>
      </c>
      <c r="Z544" s="55" t="s">
        <v>1166</v>
      </c>
    </row>
    <row r="545" spans="1:26">
      <c r="A545" s="55" t="s">
        <v>1089</v>
      </c>
      <c r="B545" s="55" t="s">
        <v>272</v>
      </c>
      <c r="C545" s="55" t="s">
        <v>1142</v>
      </c>
      <c r="D545" s="55" t="s">
        <v>1143</v>
      </c>
      <c r="E545" s="55" t="s">
        <v>1143</v>
      </c>
      <c r="F545" s="55" t="s">
        <v>73</v>
      </c>
      <c r="G545" s="56">
        <v>1</v>
      </c>
      <c r="H545" s="56">
        <v>1</v>
      </c>
      <c r="I545" s="56">
        <v>0</v>
      </c>
      <c r="J545" s="56">
        <v>1</v>
      </c>
      <c r="K545" s="56">
        <v>0</v>
      </c>
      <c r="L545" s="56">
        <v>44700000</v>
      </c>
      <c r="M545" s="56">
        <v>1022789.13</v>
      </c>
      <c r="N545" s="56">
        <v>20455782.55</v>
      </c>
      <c r="O545" s="56">
        <v>18</v>
      </c>
      <c r="P545" s="56">
        <v>0</v>
      </c>
      <c r="Q545" s="56">
        <v>0</v>
      </c>
      <c r="R545" s="56">
        <v>0</v>
      </c>
      <c r="S545" s="56">
        <v>0</v>
      </c>
      <c r="T545" s="55" t="s">
        <v>1157</v>
      </c>
      <c r="U545" s="55" t="s">
        <v>1165</v>
      </c>
      <c r="V545" s="55" t="s">
        <v>1153</v>
      </c>
      <c r="W545" s="55" t="s">
        <v>1168</v>
      </c>
      <c r="X545" s="55" t="s">
        <v>1323</v>
      </c>
      <c r="Y545" s="55" t="s">
        <v>1316</v>
      </c>
      <c r="Z545" s="55" t="s">
        <v>1164</v>
      </c>
    </row>
    <row r="546" spans="1:26">
      <c r="A546" s="55" t="s">
        <v>1090</v>
      </c>
      <c r="B546" s="55" t="s">
        <v>272</v>
      </c>
      <c r="C546" s="55" t="s">
        <v>1142</v>
      </c>
      <c r="D546" s="55" t="s">
        <v>1143</v>
      </c>
      <c r="E546" s="55" t="s">
        <v>1143</v>
      </c>
      <c r="F546" s="55" t="s">
        <v>73</v>
      </c>
      <c r="G546" s="56">
        <v>1</v>
      </c>
      <c r="H546" s="56">
        <v>1</v>
      </c>
      <c r="I546" s="56">
        <v>0</v>
      </c>
      <c r="J546" s="56">
        <v>11</v>
      </c>
      <c r="K546" s="56">
        <v>0</v>
      </c>
      <c r="L546" s="56">
        <v>0</v>
      </c>
      <c r="M546" s="56">
        <v>1743253.06</v>
      </c>
      <c r="N546" s="56">
        <v>15758816.82</v>
      </c>
      <c r="O546" s="56">
        <v>38</v>
      </c>
      <c r="P546" s="56">
        <v>1</v>
      </c>
      <c r="Q546" s="56">
        <v>0</v>
      </c>
      <c r="R546" s="56">
        <v>0</v>
      </c>
      <c r="S546" s="56">
        <v>0</v>
      </c>
      <c r="T546" s="55" t="s">
        <v>1167</v>
      </c>
      <c r="U546" s="55" t="s">
        <v>1145</v>
      </c>
      <c r="V546" s="55" t="s">
        <v>1153</v>
      </c>
      <c r="W546" s="55" t="s">
        <v>1168</v>
      </c>
      <c r="X546" s="55" t="s">
        <v>1154</v>
      </c>
      <c r="Y546" s="55" t="s">
        <v>1346</v>
      </c>
      <c r="Z546" s="55" t="s">
        <v>1177</v>
      </c>
    </row>
    <row r="547" spans="1:26">
      <c r="A547" s="55" t="s">
        <v>1091</v>
      </c>
      <c r="B547" s="55" t="s">
        <v>272</v>
      </c>
      <c r="C547" s="55" t="s">
        <v>1187</v>
      </c>
      <c r="D547" s="55" t="s">
        <v>1143</v>
      </c>
      <c r="E547" s="55" t="s">
        <v>1188</v>
      </c>
      <c r="F547" s="55" t="s">
        <v>73</v>
      </c>
      <c r="G547" s="56">
        <v>1</v>
      </c>
      <c r="H547" s="56">
        <v>2</v>
      </c>
      <c r="I547" s="56">
        <v>0</v>
      </c>
      <c r="J547" s="56">
        <v>25</v>
      </c>
      <c r="K547" s="56">
        <v>0</v>
      </c>
      <c r="L547" s="56">
        <v>14187718.69</v>
      </c>
      <c r="M547" s="56">
        <v>9923760.42</v>
      </c>
      <c r="N547" s="56">
        <v>14187718.69</v>
      </c>
      <c r="O547" s="56">
        <v>16</v>
      </c>
      <c r="P547" s="56">
        <v>0</v>
      </c>
      <c r="Q547" s="56">
        <v>0</v>
      </c>
      <c r="R547" s="56">
        <v>0</v>
      </c>
      <c r="S547" s="56">
        <v>0</v>
      </c>
      <c r="T547" s="55" t="s">
        <v>1157</v>
      </c>
      <c r="U547" s="55" t="s">
        <v>1145</v>
      </c>
      <c r="V547" s="55" t="s">
        <v>1153</v>
      </c>
      <c r="W547" s="55" t="s">
        <v>1168</v>
      </c>
      <c r="X547" s="55" t="s">
        <v>1154</v>
      </c>
      <c r="Y547" s="55" t="s">
        <v>1347</v>
      </c>
      <c r="Z547" s="55" t="s">
        <v>1260</v>
      </c>
    </row>
    <row r="548" spans="1:26">
      <c r="A548" s="55" t="s">
        <v>1092</v>
      </c>
      <c r="B548" s="55" t="s">
        <v>272</v>
      </c>
      <c r="C548" s="55" t="s">
        <v>1142</v>
      </c>
      <c r="D548" s="55" t="s">
        <v>1143</v>
      </c>
      <c r="E548" s="55" t="s">
        <v>1143</v>
      </c>
      <c r="F548" s="55" t="s">
        <v>73</v>
      </c>
      <c r="G548" s="56">
        <v>1</v>
      </c>
      <c r="H548" s="56">
        <v>1</v>
      </c>
      <c r="I548" s="56">
        <v>0</v>
      </c>
      <c r="J548" s="56">
        <v>54</v>
      </c>
      <c r="K548" s="56">
        <v>0</v>
      </c>
      <c r="L548" s="56">
        <v>17586886.62</v>
      </c>
      <c r="M548" s="56">
        <v>3873830.43</v>
      </c>
      <c r="N548" s="56">
        <v>17586886.62</v>
      </c>
      <c r="O548" s="56">
        <v>24</v>
      </c>
      <c r="P548" s="56">
        <v>0</v>
      </c>
      <c r="Q548" s="56">
        <v>0</v>
      </c>
      <c r="R548" s="56">
        <v>0</v>
      </c>
      <c r="S548" s="56">
        <v>0</v>
      </c>
      <c r="T548" s="55" t="s">
        <v>1167</v>
      </c>
      <c r="U548" s="55" t="s">
        <v>1145</v>
      </c>
      <c r="V548" s="55" t="s">
        <v>1153</v>
      </c>
      <c r="W548" s="55" t="s">
        <v>1181</v>
      </c>
      <c r="X548" s="55" t="s">
        <v>1154</v>
      </c>
      <c r="Y548" s="55" t="s">
        <v>1382</v>
      </c>
      <c r="Z548" s="55" t="s">
        <v>1211</v>
      </c>
    </row>
    <row r="549" spans="1:26">
      <c r="A549" s="55" t="s">
        <v>1093</v>
      </c>
      <c r="B549" s="55" t="s">
        <v>272</v>
      </c>
      <c r="C549" s="55" t="s">
        <v>1187</v>
      </c>
      <c r="D549" s="55" t="s">
        <v>1188</v>
      </c>
      <c r="E549" s="55" t="s">
        <v>1188</v>
      </c>
      <c r="F549" s="55" t="s">
        <v>74</v>
      </c>
      <c r="G549" s="56">
        <v>2</v>
      </c>
      <c r="H549" s="56">
        <v>2</v>
      </c>
      <c r="I549" s="56">
        <v>26</v>
      </c>
      <c r="J549" s="56">
        <v>247</v>
      </c>
      <c r="K549" s="56">
        <v>3</v>
      </c>
      <c r="L549" s="56">
        <v>241428122.55</v>
      </c>
      <c r="M549" s="56">
        <v>91139880.34999999</v>
      </c>
      <c r="N549" s="56">
        <v>1069476426.28</v>
      </c>
      <c r="O549" s="56">
        <v>79</v>
      </c>
      <c r="P549" s="56">
        <v>0</v>
      </c>
      <c r="Q549" s="56">
        <v>0</v>
      </c>
      <c r="R549" s="56">
        <v>0</v>
      </c>
      <c r="S549" s="56">
        <v>1</v>
      </c>
      <c r="T549" s="55" t="s">
        <v>1152</v>
      </c>
      <c r="U549" s="55" t="s">
        <v>1145</v>
      </c>
      <c r="V549" s="55" t="s">
        <v>1146</v>
      </c>
      <c r="W549" s="55" t="s">
        <v>1168</v>
      </c>
      <c r="X549" s="55" t="s">
        <v>1258</v>
      </c>
      <c r="Y549" s="55" t="s">
        <v>1373</v>
      </c>
      <c r="Z549" s="55" t="s">
        <v>1282</v>
      </c>
    </row>
    <row r="550" spans="1:26">
      <c r="A550" s="55" t="s">
        <v>1094</v>
      </c>
      <c r="B550" s="55" t="s">
        <v>272</v>
      </c>
      <c r="C550" s="55" t="s">
        <v>1142</v>
      </c>
      <c r="D550" s="55" t="s">
        <v>1143</v>
      </c>
      <c r="E550" s="55" t="s">
        <v>1143</v>
      </c>
      <c r="F550" s="55" t="s">
        <v>73</v>
      </c>
      <c r="G550" s="56">
        <v>1</v>
      </c>
      <c r="H550" s="56">
        <v>1</v>
      </c>
      <c r="I550" s="56">
        <v>0</v>
      </c>
      <c r="J550" s="56">
        <v>6</v>
      </c>
      <c r="K550" s="56">
        <v>0</v>
      </c>
      <c r="L550" s="56">
        <v>603748000</v>
      </c>
      <c r="M550" s="56">
        <v>13216483.82</v>
      </c>
      <c r="N550" s="56">
        <v>264329676.32</v>
      </c>
      <c r="O550" s="56">
        <v>113</v>
      </c>
      <c r="P550" s="56">
        <v>0</v>
      </c>
      <c r="Q550" s="56">
        <v>0</v>
      </c>
      <c r="R550" s="56">
        <v>0</v>
      </c>
      <c r="S550" s="56">
        <v>0</v>
      </c>
      <c r="T550" s="55" t="s">
        <v>1152</v>
      </c>
      <c r="U550" s="55" t="s">
        <v>1145</v>
      </c>
      <c r="V550" s="55" t="s">
        <v>1146</v>
      </c>
      <c r="W550" s="55" t="s">
        <v>1147</v>
      </c>
      <c r="X550" s="55" t="s">
        <v>1159</v>
      </c>
      <c r="Y550" s="55" t="s">
        <v>1373</v>
      </c>
      <c r="Z550" s="55" t="s">
        <v>1268</v>
      </c>
    </row>
    <row r="551" spans="1:26">
      <c r="A551" s="55" t="s">
        <v>1095</v>
      </c>
      <c r="B551" s="55" t="s">
        <v>272</v>
      </c>
      <c r="C551" s="55" t="s">
        <v>1142</v>
      </c>
      <c r="D551" s="55" t="s">
        <v>1143</v>
      </c>
      <c r="E551" s="55" t="s">
        <v>1143</v>
      </c>
      <c r="F551" s="55" t="s">
        <v>73</v>
      </c>
      <c r="G551" s="56">
        <v>1</v>
      </c>
      <c r="H551" s="56">
        <v>1</v>
      </c>
      <c r="I551" s="56">
        <v>0</v>
      </c>
      <c r="J551" s="56">
        <v>9</v>
      </c>
      <c r="K551" s="56">
        <v>1</v>
      </c>
      <c r="L551" s="56">
        <v>628294260</v>
      </c>
      <c r="M551" s="56">
        <v>5025451.81</v>
      </c>
      <c r="N551" s="56">
        <v>100509036.17</v>
      </c>
      <c r="O551" s="56">
        <v>268</v>
      </c>
      <c r="P551" s="56">
        <v>0</v>
      </c>
      <c r="Q551" s="56">
        <v>0</v>
      </c>
      <c r="R551" s="56">
        <v>0</v>
      </c>
      <c r="S551" s="56">
        <v>0</v>
      </c>
      <c r="T551" s="55" t="s">
        <v>1144</v>
      </c>
      <c r="U551" s="55" t="s">
        <v>1145</v>
      </c>
      <c r="V551" s="55" t="s">
        <v>1146</v>
      </c>
      <c r="W551" s="55" t="s">
        <v>1180</v>
      </c>
      <c r="X551" s="55" t="s">
        <v>1154</v>
      </c>
      <c r="Y551" s="55" t="s">
        <v>1354</v>
      </c>
      <c r="Z551" s="55" t="s">
        <v>1170</v>
      </c>
    </row>
    <row r="552" spans="1:26">
      <c r="A552" s="55" t="s">
        <v>1096</v>
      </c>
      <c r="B552" s="55" t="s">
        <v>272</v>
      </c>
      <c r="C552" s="55" t="s">
        <v>1142</v>
      </c>
      <c r="D552" s="55" t="s">
        <v>1143</v>
      </c>
      <c r="E552" s="55" t="s">
        <v>1143</v>
      </c>
      <c r="F552" s="55" t="s">
        <v>73</v>
      </c>
      <c r="G552" s="56">
        <v>1</v>
      </c>
      <c r="H552" s="56">
        <v>1</v>
      </c>
      <c r="I552" s="56">
        <v>0</v>
      </c>
      <c r="J552" s="56">
        <v>79</v>
      </c>
      <c r="K552" s="56">
        <v>0</v>
      </c>
      <c r="L552" s="56">
        <v>4216886.09</v>
      </c>
      <c r="M552" s="56">
        <v>495572.12</v>
      </c>
      <c r="N552" s="56">
        <v>5621554.640000001</v>
      </c>
      <c r="O552" s="56">
        <v>46</v>
      </c>
      <c r="P552" s="56">
        <v>0</v>
      </c>
      <c r="Q552" s="56">
        <v>0</v>
      </c>
      <c r="R552" s="56">
        <v>0</v>
      </c>
      <c r="S552" s="56">
        <v>0</v>
      </c>
      <c r="T552" s="55" t="s">
        <v>1167</v>
      </c>
      <c r="U552" s="55" t="s">
        <v>1165</v>
      </c>
      <c r="V552" s="55" t="s">
        <v>1146</v>
      </c>
      <c r="W552" s="55" t="s">
        <v>1168</v>
      </c>
      <c r="X552" s="55" t="s">
        <v>1218</v>
      </c>
      <c r="Y552" s="55" t="s">
        <v>1383</v>
      </c>
      <c r="Z552" s="55" t="s">
        <v>1266</v>
      </c>
    </row>
    <row r="553" spans="1:26">
      <c r="A553" s="55" t="s">
        <v>1097</v>
      </c>
      <c r="B553" s="55" t="s">
        <v>272</v>
      </c>
      <c r="C553" s="55" t="s">
        <v>1142</v>
      </c>
      <c r="D553" s="55" t="s">
        <v>1143</v>
      </c>
      <c r="E553" s="55" t="s">
        <v>1143</v>
      </c>
      <c r="F553" s="55" t="s">
        <v>73</v>
      </c>
      <c r="G553" s="56">
        <v>1</v>
      </c>
      <c r="H553" s="56">
        <v>1</v>
      </c>
      <c r="I553" s="56">
        <v>0</v>
      </c>
      <c r="J553" s="56">
        <v>1</v>
      </c>
      <c r="K553" s="56">
        <v>0</v>
      </c>
      <c r="L553" s="56">
        <v>4470000</v>
      </c>
      <c r="M553" s="56">
        <v>0</v>
      </c>
      <c r="N553" s="56">
        <v>0</v>
      </c>
      <c r="O553" s="56">
        <v>13</v>
      </c>
      <c r="P553" s="56">
        <v>0</v>
      </c>
      <c r="Q553" s="56">
        <v>0</v>
      </c>
      <c r="R553" s="56">
        <v>0</v>
      </c>
      <c r="S553" s="56">
        <v>0</v>
      </c>
      <c r="T553" s="55" t="s">
        <v>1157</v>
      </c>
      <c r="U553" s="55" t="s">
        <v>1145</v>
      </c>
      <c r="V553" s="55" t="s">
        <v>1153</v>
      </c>
      <c r="W553" s="55" t="s">
        <v>1180</v>
      </c>
      <c r="X553" s="55" t="s">
        <v>1154</v>
      </c>
      <c r="Y553" s="55" t="s">
        <v>1384</v>
      </c>
      <c r="Z553" s="55" t="s">
        <v>1261</v>
      </c>
    </row>
    <row r="554" spans="1:26">
      <c r="A554" s="55" t="s">
        <v>1098</v>
      </c>
      <c r="B554" s="55" t="s">
        <v>272</v>
      </c>
      <c r="C554" s="55" t="s">
        <v>1187</v>
      </c>
      <c r="D554" s="55" t="s">
        <v>1143</v>
      </c>
      <c r="E554" s="55" t="s">
        <v>1143</v>
      </c>
      <c r="F554" s="55" t="s">
        <v>73</v>
      </c>
      <c r="G554" s="56">
        <v>1</v>
      </c>
      <c r="H554" s="56">
        <v>1</v>
      </c>
      <c r="I554" s="56">
        <v>0</v>
      </c>
      <c r="J554" s="56">
        <v>13</v>
      </c>
      <c r="K554" s="56">
        <v>0</v>
      </c>
      <c r="L554" s="56">
        <v>5883772.71</v>
      </c>
      <c r="M554" s="56">
        <v>15805176.67</v>
      </c>
      <c r="N554" s="56">
        <v>276361312.96</v>
      </c>
      <c r="O554" s="56">
        <v>14</v>
      </c>
      <c r="P554" s="56">
        <v>0</v>
      </c>
      <c r="Q554" s="56">
        <v>0</v>
      </c>
      <c r="R554" s="56">
        <v>0</v>
      </c>
      <c r="S554" s="56">
        <v>0</v>
      </c>
      <c r="T554" s="55" t="s">
        <v>1162</v>
      </c>
      <c r="U554" s="55" t="s">
        <v>1145</v>
      </c>
      <c r="V554" s="55" t="s">
        <v>1153</v>
      </c>
      <c r="W554" s="55" t="s">
        <v>1168</v>
      </c>
      <c r="X554" s="55" t="s">
        <v>1154</v>
      </c>
      <c r="Y554" s="55" t="s">
        <v>1385</v>
      </c>
      <c r="Z554" s="55" t="s">
        <v>1185</v>
      </c>
    </row>
    <row r="555" spans="1:26">
      <c r="A555" s="55" t="s">
        <v>1099</v>
      </c>
      <c r="B555" s="55" t="s">
        <v>272</v>
      </c>
      <c r="C555" s="55" t="s">
        <v>1142</v>
      </c>
      <c r="D555" s="55" t="s">
        <v>1143</v>
      </c>
      <c r="E555" s="55" t="s">
        <v>1143</v>
      </c>
      <c r="F555" s="55" t="s">
        <v>73</v>
      </c>
      <c r="G555" s="56">
        <v>1</v>
      </c>
      <c r="H555" s="56">
        <v>1</v>
      </c>
      <c r="I555" s="56">
        <v>0</v>
      </c>
      <c r="J555" s="56">
        <v>5</v>
      </c>
      <c r="K555" s="56">
        <v>0</v>
      </c>
      <c r="L555" s="56">
        <v>3875059.3</v>
      </c>
      <c r="M555" s="56">
        <v>1149394.32</v>
      </c>
      <c r="N555" s="56">
        <v>3875059.3</v>
      </c>
      <c r="O555" s="56">
        <v>15</v>
      </c>
      <c r="P555" s="56">
        <v>0</v>
      </c>
      <c r="Q555" s="56">
        <v>0</v>
      </c>
      <c r="R555" s="56">
        <v>0</v>
      </c>
      <c r="S555" s="56">
        <v>0</v>
      </c>
      <c r="T555" s="55" t="s">
        <v>1157</v>
      </c>
      <c r="U555" s="55" t="s">
        <v>1145</v>
      </c>
      <c r="V555" s="55" t="s">
        <v>1153</v>
      </c>
      <c r="W555" s="55" t="s">
        <v>1147</v>
      </c>
      <c r="X555" s="55" t="s">
        <v>1221</v>
      </c>
      <c r="Y555" s="55" t="s">
        <v>1210</v>
      </c>
      <c r="Z555" s="55" t="s">
        <v>1166</v>
      </c>
    </row>
    <row r="556" spans="1:26">
      <c r="A556" s="55" t="s">
        <v>1100</v>
      </c>
      <c r="B556" s="55" t="s">
        <v>546</v>
      </c>
      <c r="C556" s="55" t="s">
        <v>1151</v>
      </c>
      <c r="D556" s="55" t="s">
        <v>87</v>
      </c>
      <c r="E556" s="55" t="s">
        <v>87</v>
      </c>
      <c r="F556" s="55" t="s">
        <v>75</v>
      </c>
      <c r="G556" s="56">
        <v>5</v>
      </c>
      <c r="H556" s="56">
        <v>5</v>
      </c>
      <c r="I556" s="56">
        <v>316</v>
      </c>
      <c r="J556" s="56">
        <v>9</v>
      </c>
      <c r="K556" s="56">
        <v>0</v>
      </c>
      <c r="L556" s="56">
        <v>525970000</v>
      </c>
      <c r="M556" s="56">
        <v>57321.92</v>
      </c>
      <c r="N556" s="56">
        <v>1810013611.48</v>
      </c>
      <c r="O556" s="56">
        <v>210</v>
      </c>
      <c r="P556" s="56">
        <v>0</v>
      </c>
      <c r="Q556" s="56">
        <v>0</v>
      </c>
      <c r="R556" s="56">
        <v>1</v>
      </c>
      <c r="S556" s="56">
        <v>1</v>
      </c>
      <c r="T556" s="55" t="s">
        <v>1173</v>
      </c>
      <c r="U556" s="55" t="s">
        <v>1145</v>
      </c>
      <c r="V556" s="55" t="s">
        <v>1146</v>
      </c>
      <c r="W556" s="55" t="s">
        <v>1168</v>
      </c>
      <c r="X556" s="55" t="s">
        <v>1154</v>
      </c>
      <c r="Y556" s="55" t="s">
        <v>1386</v>
      </c>
      <c r="Z556" s="55" t="s">
        <v>1254</v>
      </c>
    </row>
    <row r="557" spans="1:26">
      <c r="A557" s="55" t="s">
        <v>1101</v>
      </c>
      <c r="B557" s="55" t="s">
        <v>546</v>
      </c>
      <c r="C557" s="55" t="s">
        <v>1151</v>
      </c>
      <c r="D557" s="55" t="s">
        <v>87</v>
      </c>
      <c r="E557" s="55" t="s">
        <v>87</v>
      </c>
      <c r="F557" s="55" t="s">
        <v>75</v>
      </c>
      <c r="G557" s="56">
        <v>5</v>
      </c>
      <c r="H557" s="56">
        <v>5</v>
      </c>
      <c r="I557" s="56">
        <v>1299</v>
      </c>
      <c r="J557" s="56">
        <v>3</v>
      </c>
      <c r="K557" s="56">
        <v>1</v>
      </c>
      <c r="L557" s="56">
        <v>0</v>
      </c>
      <c r="M557" s="56">
        <v>1045998.54</v>
      </c>
      <c r="N557" s="56">
        <v>7246669.88</v>
      </c>
      <c r="O557" s="56">
        <v>52</v>
      </c>
      <c r="P557" s="56">
        <v>1</v>
      </c>
      <c r="Q557" s="56">
        <v>1</v>
      </c>
      <c r="R557" s="56">
        <v>1</v>
      </c>
      <c r="S557" s="56">
        <v>1</v>
      </c>
      <c r="T557" s="55" t="s">
        <v>1167</v>
      </c>
      <c r="U557" s="55" t="s">
        <v>1145</v>
      </c>
      <c r="V557" s="55" t="s">
        <v>1146</v>
      </c>
      <c r="W557" s="55" t="s">
        <v>1180</v>
      </c>
      <c r="X557" s="55" t="s">
        <v>1154</v>
      </c>
      <c r="Y557" s="55" t="s">
        <v>1387</v>
      </c>
      <c r="Z557" s="55" t="s">
        <v>1226</v>
      </c>
    </row>
    <row r="558" spans="1:26">
      <c r="A558" s="55" t="s">
        <v>1102</v>
      </c>
      <c r="B558" s="55" t="s">
        <v>272</v>
      </c>
      <c r="C558" s="55" t="s">
        <v>1142</v>
      </c>
      <c r="D558" s="55" t="s">
        <v>1143</v>
      </c>
      <c r="E558" s="55" t="s">
        <v>1143</v>
      </c>
      <c r="F558" s="55" t="s">
        <v>73</v>
      </c>
      <c r="G558" s="56">
        <v>1</v>
      </c>
      <c r="H558" s="56">
        <v>1</v>
      </c>
      <c r="I558" s="56">
        <v>0</v>
      </c>
      <c r="J558" s="56">
        <v>9</v>
      </c>
      <c r="K558" s="56">
        <v>1</v>
      </c>
      <c r="L558" s="56">
        <v>0</v>
      </c>
      <c r="M558" s="56">
        <v>1309751.65</v>
      </c>
      <c r="N558" s="56">
        <v>94036991.36</v>
      </c>
      <c r="O558" s="56">
        <v>61</v>
      </c>
      <c r="P558" s="56">
        <v>1</v>
      </c>
      <c r="Q558" s="56">
        <v>0</v>
      </c>
      <c r="R558" s="56">
        <v>0</v>
      </c>
      <c r="S558" s="56">
        <v>0</v>
      </c>
      <c r="T558" s="55" t="s">
        <v>1167</v>
      </c>
      <c r="U558" s="55" t="s">
        <v>1145</v>
      </c>
      <c r="V558" s="55" t="s">
        <v>1146</v>
      </c>
      <c r="W558" s="55" t="s">
        <v>1181</v>
      </c>
      <c r="X558" s="55" t="s">
        <v>1148</v>
      </c>
      <c r="Y558" s="55" t="s">
        <v>1388</v>
      </c>
      <c r="Z558" s="55" t="s">
        <v>1170</v>
      </c>
    </row>
    <row r="559" spans="1:26">
      <c r="A559" s="55" t="s">
        <v>1103</v>
      </c>
      <c r="B559" s="55" t="s">
        <v>546</v>
      </c>
      <c r="C559" s="55" t="s">
        <v>1151</v>
      </c>
      <c r="D559" s="55" t="s">
        <v>87</v>
      </c>
      <c r="E559" s="55" t="s">
        <v>87</v>
      </c>
      <c r="F559" s="55" t="s">
        <v>75</v>
      </c>
      <c r="G559" s="56">
        <v>5</v>
      </c>
      <c r="H559" s="56">
        <v>5</v>
      </c>
      <c r="I559" s="56">
        <v>743</v>
      </c>
      <c r="J559" s="56">
        <v>1</v>
      </c>
      <c r="K559" s="56">
        <v>0</v>
      </c>
      <c r="L559" s="56">
        <v>0</v>
      </c>
      <c r="M559" s="56">
        <v>0</v>
      </c>
      <c r="N559" s="56">
        <v>1081600</v>
      </c>
      <c r="O559" s="56">
        <v>37</v>
      </c>
      <c r="P559" s="56">
        <v>1</v>
      </c>
      <c r="Q559" s="56">
        <v>0</v>
      </c>
      <c r="R559" s="56">
        <v>1</v>
      </c>
      <c r="S559" s="56">
        <v>1</v>
      </c>
      <c r="T559" s="55" t="s">
        <v>1157</v>
      </c>
      <c r="U559" s="55" t="s">
        <v>1165</v>
      </c>
      <c r="V559" s="55" t="s">
        <v>1146</v>
      </c>
      <c r="W559" s="55" t="s">
        <v>1168</v>
      </c>
      <c r="X559" s="55" t="s">
        <v>1154</v>
      </c>
      <c r="Y559" s="55" t="s">
        <v>1389</v>
      </c>
      <c r="Z559" s="55" t="s">
        <v>1193</v>
      </c>
    </row>
    <row r="560" spans="1:26">
      <c r="A560" s="55" t="s">
        <v>1104</v>
      </c>
      <c r="B560" s="55" t="s">
        <v>272</v>
      </c>
      <c r="C560" s="55" t="s">
        <v>1142</v>
      </c>
      <c r="D560" s="55" t="s">
        <v>1143</v>
      </c>
      <c r="E560" s="55" t="s">
        <v>1143</v>
      </c>
      <c r="F560" s="55" t="s">
        <v>73</v>
      </c>
      <c r="G560" s="56">
        <v>1</v>
      </c>
      <c r="H560" s="56">
        <v>1</v>
      </c>
      <c r="I560" s="56">
        <v>0</v>
      </c>
      <c r="J560" s="56">
        <v>102</v>
      </c>
      <c r="K560" s="56">
        <v>0</v>
      </c>
      <c r="L560" s="56">
        <v>125160000</v>
      </c>
      <c r="M560" s="56">
        <v>78631458.95</v>
      </c>
      <c r="N560" s="56">
        <v>5064096011.31</v>
      </c>
      <c r="O560" s="56">
        <v>122</v>
      </c>
      <c r="P560" s="56">
        <v>0</v>
      </c>
      <c r="Q560" s="56">
        <v>0</v>
      </c>
      <c r="R560" s="56">
        <v>0</v>
      </c>
      <c r="S560" s="56">
        <v>0</v>
      </c>
      <c r="T560" s="55" t="s">
        <v>1167</v>
      </c>
      <c r="U560" s="55" t="s">
        <v>1145</v>
      </c>
      <c r="V560" s="55" t="s">
        <v>1146</v>
      </c>
      <c r="W560" s="55" t="s">
        <v>1168</v>
      </c>
      <c r="X560" s="55" t="s">
        <v>1154</v>
      </c>
      <c r="Y560" s="55" t="s">
        <v>1389</v>
      </c>
      <c r="Z560" s="55" t="s">
        <v>1193</v>
      </c>
    </row>
    <row r="561" spans="1:26">
      <c r="A561" s="55" t="s">
        <v>1105</v>
      </c>
      <c r="B561" s="55" t="s">
        <v>272</v>
      </c>
      <c r="C561" s="55" t="s">
        <v>1236</v>
      </c>
      <c r="D561" s="55" t="s">
        <v>1188</v>
      </c>
      <c r="E561" s="55" t="s">
        <v>86</v>
      </c>
      <c r="F561" s="55" t="s">
        <v>74</v>
      </c>
      <c r="G561" s="56">
        <v>2</v>
      </c>
      <c r="H561" s="56">
        <v>4</v>
      </c>
      <c r="I561" s="56">
        <v>114</v>
      </c>
      <c r="J561" s="56">
        <v>49</v>
      </c>
      <c r="K561" s="56">
        <v>1</v>
      </c>
      <c r="L561" s="56">
        <v>15429362.54</v>
      </c>
      <c r="M561" s="56">
        <v>90895675.09999999</v>
      </c>
      <c r="N561" s="56">
        <v>418879362.54</v>
      </c>
      <c r="O561" s="56">
        <v>72</v>
      </c>
      <c r="P561" s="56">
        <v>0</v>
      </c>
      <c r="Q561" s="56">
        <v>0</v>
      </c>
      <c r="R561" s="56">
        <v>1</v>
      </c>
      <c r="S561" s="56">
        <v>1</v>
      </c>
      <c r="T561" s="55" t="s">
        <v>1227</v>
      </c>
      <c r="U561" s="55" t="s">
        <v>1145</v>
      </c>
      <c r="V561" s="55" t="s">
        <v>1146</v>
      </c>
      <c r="W561" s="55" t="s">
        <v>1168</v>
      </c>
      <c r="X561" s="55" t="s">
        <v>1262</v>
      </c>
      <c r="Y561" s="55" t="s">
        <v>1389</v>
      </c>
      <c r="Z561" s="55" t="s">
        <v>1230</v>
      </c>
    </row>
    <row r="562" spans="1:26">
      <c r="A562" s="55" t="s">
        <v>1106</v>
      </c>
      <c r="B562" s="55" t="s">
        <v>272</v>
      </c>
      <c r="C562" s="55" t="s">
        <v>1142</v>
      </c>
      <c r="D562" s="55" t="s">
        <v>1143</v>
      </c>
      <c r="E562" s="55" t="s">
        <v>1143</v>
      </c>
      <c r="F562" s="55" t="s">
        <v>73</v>
      </c>
      <c r="G562" s="56">
        <v>1</v>
      </c>
      <c r="H562" s="56">
        <v>1</v>
      </c>
      <c r="I562" s="56">
        <v>0</v>
      </c>
      <c r="J562" s="56">
        <v>13</v>
      </c>
      <c r="K562" s="56">
        <v>0</v>
      </c>
      <c r="L562" s="56">
        <v>1192698.93</v>
      </c>
      <c r="M562" s="56">
        <v>1831532.51</v>
      </c>
      <c r="N562" s="56">
        <v>89474979.55000001</v>
      </c>
      <c r="O562" s="56">
        <v>99</v>
      </c>
      <c r="P562" s="56">
        <v>0</v>
      </c>
      <c r="Q562" s="56">
        <v>0</v>
      </c>
      <c r="R562" s="56">
        <v>0</v>
      </c>
      <c r="S562" s="56">
        <v>0</v>
      </c>
      <c r="T562" s="55" t="s">
        <v>1167</v>
      </c>
      <c r="U562" s="55" t="s">
        <v>1165</v>
      </c>
      <c r="V562" s="55" t="s">
        <v>1146</v>
      </c>
      <c r="W562" s="55" t="s">
        <v>1158</v>
      </c>
      <c r="X562" s="55" t="s">
        <v>1148</v>
      </c>
      <c r="Y562" s="55" t="s">
        <v>1389</v>
      </c>
      <c r="Z562" s="55" t="s">
        <v>1211</v>
      </c>
    </row>
    <row r="563" spans="1:26">
      <c r="A563" s="55" t="s">
        <v>1107</v>
      </c>
      <c r="B563" s="55" t="s">
        <v>272</v>
      </c>
      <c r="C563" s="55" t="s">
        <v>1236</v>
      </c>
      <c r="D563" s="55" t="s">
        <v>1143</v>
      </c>
      <c r="E563" s="55" t="s">
        <v>87</v>
      </c>
      <c r="F563" s="55" t="s">
        <v>73</v>
      </c>
      <c r="G563" s="56">
        <v>1</v>
      </c>
      <c r="H563" s="56">
        <v>5</v>
      </c>
      <c r="I563" s="56">
        <v>0</v>
      </c>
      <c r="J563" s="56">
        <v>21</v>
      </c>
      <c r="K563" s="56">
        <v>0</v>
      </c>
      <c r="L563" s="56">
        <v>4443989.86</v>
      </c>
      <c r="M563" s="56">
        <v>2631147.31</v>
      </c>
      <c r="N563" s="56">
        <v>4443989.859999999</v>
      </c>
      <c r="O563" s="56">
        <v>31</v>
      </c>
      <c r="P563" s="56">
        <v>0</v>
      </c>
      <c r="Q563" s="56">
        <v>0</v>
      </c>
      <c r="R563" s="56">
        <v>1</v>
      </c>
      <c r="S563" s="56">
        <v>0</v>
      </c>
      <c r="T563" s="55" t="s">
        <v>1157</v>
      </c>
      <c r="U563" s="55" t="s">
        <v>1145</v>
      </c>
      <c r="V563" s="55" t="s">
        <v>1153</v>
      </c>
      <c r="W563" s="55" t="s">
        <v>1168</v>
      </c>
      <c r="X563" s="55" t="s">
        <v>1154</v>
      </c>
      <c r="Y563" s="55" t="s">
        <v>1390</v>
      </c>
      <c r="Z563" s="55" t="s">
        <v>1185</v>
      </c>
    </row>
    <row r="564" spans="1:26">
      <c r="A564" s="55" t="s">
        <v>1108</v>
      </c>
      <c r="B564" s="55" t="s">
        <v>272</v>
      </c>
      <c r="C564" s="55" t="s">
        <v>1142</v>
      </c>
      <c r="D564" s="55" t="s">
        <v>1143</v>
      </c>
      <c r="E564" s="55" t="s">
        <v>1143</v>
      </c>
      <c r="F564" s="55" t="s">
        <v>73</v>
      </c>
      <c r="G564" s="56">
        <v>1</v>
      </c>
      <c r="H564" s="56">
        <v>1</v>
      </c>
      <c r="I564" s="56">
        <v>0</v>
      </c>
      <c r="J564" s="56">
        <v>3</v>
      </c>
      <c r="K564" s="56">
        <v>0</v>
      </c>
      <c r="L564" s="56">
        <v>0</v>
      </c>
      <c r="M564" s="56">
        <v>7816811.76</v>
      </c>
      <c r="N564" s="56">
        <v>200287591.7</v>
      </c>
      <c r="O564" s="56">
        <v>49</v>
      </c>
      <c r="P564" s="56">
        <v>1</v>
      </c>
      <c r="Q564" s="56">
        <v>0</v>
      </c>
      <c r="R564" s="56">
        <v>0</v>
      </c>
      <c r="S564" s="56">
        <v>0</v>
      </c>
      <c r="T564" s="55" t="s">
        <v>1157</v>
      </c>
      <c r="U564" s="55" t="s">
        <v>1145</v>
      </c>
      <c r="V564" s="55" t="s">
        <v>1146</v>
      </c>
      <c r="W564" s="55" t="s">
        <v>1147</v>
      </c>
      <c r="X564" s="55" t="s">
        <v>1378</v>
      </c>
      <c r="Y564" s="55" t="s">
        <v>1309</v>
      </c>
      <c r="Z564" s="55" t="s">
        <v>1156</v>
      </c>
    </row>
    <row r="565" spans="1:26">
      <c r="A565" s="55" t="s">
        <v>1109</v>
      </c>
      <c r="B565" s="55" t="s">
        <v>272</v>
      </c>
      <c r="C565" s="55" t="s">
        <v>1142</v>
      </c>
      <c r="D565" s="55" t="s">
        <v>1143</v>
      </c>
      <c r="E565" s="55" t="s">
        <v>1143</v>
      </c>
      <c r="F565" s="55" t="s">
        <v>73</v>
      </c>
      <c r="G565" s="56">
        <v>1</v>
      </c>
      <c r="H565" s="56">
        <v>1</v>
      </c>
      <c r="I565" s="56">
        <v>0</v>
      </c>
      <c r="J565" s="56">
        <v>4</v>
      </c>
      <c r="K565" s="56">
        <v>0</v>
      </c>
      <c r="L565" s="56">
        <v>104300000</v>
      </c>
      <c r="M565" s="56">
        <v>853741.79</v>
      </c>
      <c r="N565" s="56">
        <v>17074835.8</v>
      </c>
      <c r="O565" s="56">
        <v>129</v>
      </c>
      <c r="P565" s="56">
        <v>0</v>
      </c>
      <c r="Q565" s="56">
        <v>0</v>
      </c>
      <c r="R565" s="56">
        <v>0</v>
      </c>
      <c r="S565" s="56">
        <v>0</v>
      </c>
      <c r="T565" s="55" t="s">
        <v>1173</v>
      </c>
      <c r="U565" s="55" t="s">
        <v>1145</v>
      </c>
      <c r="V565" s="55" t="s">
        <v>1146</v>
      </c>
      <c r="W565" s="55" t="s">
        <v>1147</v>
      </c>
      <c r="X565" s="55" t="s">
        <v>1221</v>
      </c>
      <c r="Y565" s="55" t="s">
        <v>1391</v>
      </c>
      <c r="Z565" s="55" t="s">
        <v>1182</v>
      </c>
    </row>
    <row r="566" spans="1:26">
      <c r="A566" s="55" t="s">
        <v>1110</v>
      </c>
      <c r="B566" s="55" t="s">
        <v>272</v>
      </c>
      <c r="C566" s="55" t="s">
        <v>1142</v>
      </c>
      <c r="D566" s="55" t="s">
        <v>1143</v>
      </c>
      <c r="E566" s="55" t="s">
        <v>1143</v>
      </c>
      <c r="F566" s="55" t="s">
        <v>73</v>
      </c>
      <c r="G566" s="56">
        <v>1</v>
      </c>
      <c r="H566" s="56">
        <v>1</v>
      </c>
      <c r="I566" s="56">
        <v>0</v>
      </c>
      <c r="J566" s="56">
        <v>3</v>
      </c>
      <c r="K566" s="56">
        <v>0</v>
      </c>
      <c r="L566" s="56">
        <v>5960000</v>
      </c>
      <c r="M566" s="56">
        <v>0</v>
      </c>
      <c r="N566" s="56">
        <v>0</v>
      </c>
      <c r="O566" s="56">
        <v>96</v>
      </c>
      <c r="P566" s="56">
        <v>0</v>
      </c>
      <c r="Q566" s="56">
        <v>0</v>
      </c>
      <c r="R566" s="56">
        <v>0</v>
      </c>
      <c r="S566" s="56">
        <v>0</v>
      </c>
      <c r="T566" s="55" t="s">
        <v>1167</v>
      </c>
      <c r="U566" s="55" t="s">
        <v>1165</v>
      </c>
      <c r="V566" s="55" t="s">
        <v>1153</v>
      </c>
      <c r="W566" s="55" t="s">
        <v>1180</v>
      </c>
      <c r="X566" s="55" t="s">
        <v>1154</v>
      </c>
      <c r="Y566" s="55" t="s">
        <v>1309</v>
      </c>
      <c r="Z566" s="55" t="s">
        <v>1172</v>
      </c>
    </row>
    <row r="567" spans="1:26">
      <c r="A567" s="55" t="s">
        <v>1111</v>
      </c>
      <c r="B567" s="55" t="s">
        <v>272</v>
      </c>
      <c r="C567" s="55" t="s">
        <v>1142</v>
      </c>
      <c r="D567" s="55" t="s">
        <v>1143</v>
      </c>
      <c r="E567" s="55" t="s">
        <v>1143</v>
      </c>
      <c r="F567" s="55" t="s">
        <v>73</v>
      </c>
      <c r="G567" s="56">
        <v>1</v>
      </c>
      <c r="H567" s="56">
        <v>1</v>
      </c>
      <c r="I567" s="56">
        <v>0</v>
      </c>
      <c r="J567" s="56">
        <v>4</v>
      </c>
      <c r="K567" s="56">
        <v>0</v>
      </c>
      <c r="L567" s="56">
        <v>240691620</v>
      </c>
      <c r="M567" s="56">
        <v>1455395.18</v>
      </c>
      <c r="N567" s="56">
        <v>29107903.68</v>
      </c>
      <c r="O567" s="56">
        <v>206</v>
      </c>
      <c r="P567" s="56">
        <v>0</v>
      </c>
      <c r="Q567" s="56">
        <v>0</v>
      </c>
      <c r="R567" s="56">
        <v>0</v>
      </c>
      <c r="S567" s="56">
        <v>0</v>
      </c>
      <c r="T567" s="55" t="s">
        <v>1173</v>
      </c>
      <c r="U567" s="55" t="s">
        <v>1145</v>
      </c>
      <c r="V567" s="55" t="s">
        <v>1146</v>
      </c>
      <c r="Z567" s="55" t="s">
        <v>1166</v>
      </c>
    </row>
    <row r="568" spans="1:26">
      <c r="A568" s="55" t="s">
        <v>1112</v>
      </c>
      <c r="B568" s="55" t="s">
        <v>272</v>
      </c>
      <c r="C568" s="55" t="s">
        <v>1142</v>
      </c>
      <c r="D568" s="55" t="s">
        <v>1143</v>
      </c>
      <c r="E568" s="55" t="s">
        <v>1143</v>
      </c>
      <c r="F568" s="55" t="s">
        <v>73</v>
      </c>
      <c r="G568" s="56">
        <v>1</v>
      </c>
      <c r="H568" s="56">
        <v>1</v>
      </c>
      <c r="I568" s="56">
        <v>0</v>
      </c>
      <c r="J568" s="56">
        <v>42</v>
      </c>
      <c r="K568" s="56">
        <v>0</v>
      </c>
      <c r="L568" s="56">
        <v>660000</v>
      </c>
      <c r="M568" s="56">
        <v>366985.49</v>
      </c>
      <c r="N568" s="56">
        <v>660540.35</v>
      </c>
      <c r="O568" s="56">
        <v>36</v>
      </c>
      <c r="P568" s="56">
        <v>0</v>
      </c>
      <c r="Q568" s="56">
        <v>0</v>
      </c>
      <c r="R568" s="56">
        <v>0</v>
      </c>
      <c r="S568" s="56">
        <v>0</v>
      </c>
      <c r="T568" s="55" t="s">
        <v>1167</v>
      </c>
      <c r="U568" s="55" t="s">
        <v>1145</v>
      </c>
      <c r="V568" s="55" t="s">
        <v>1153</v>
      </c>
      <c r="W568" s="55" t="s">
        <v>1158</v>
      </c>
      <c r="X568" s="55" t="s">
        <v>1198</v>
      </c>
      <c r="Y568" s="55" t="s">
        <v>1390</v>
      </c>
      <c r="Z568" s="55" t="s">
        <v>1211</v>
      </c>
    </row>
    <row r="569" spans="1:26">
      <c r="A569" s="55" t="s">
        <v>1113</v>
      </c>
      <c r="B569" s="55" t="s">
        <v>272</v>
      </c>
      <c r="C569" s="55" t="s">
        <v>1142</v>
      </c>
      <c r="D569" s="55" t="s">
        <v>1143</v>
      </c>
      <c r="E569" s="55" t="s">
        <v>1143</v>
      </c>
      <c r="F569" s="55" t="s">
        <v>73</v>
      </c>
      <c r="G569" s="56">
        <v>1</v>
      </c>
      <c r="H569" s="56">
        <v>1</v>
      </c>
      <c r="I569" s="56">
        <v>0</v>
      </c>
      <c r="J569" s="56">
        <v>7</v>
      </c>
      <c r="K569" s="56">
        <v>2</v>
      </c>
      <c r="L569" s="56">
        <v>113240000</v>
      </c>
      <c r="M569" s="56">
        <v>785046.95</v>
      </c>
      <c r="N569" s="56">
        <v>15700938.93</v>
      </c>
      <c r="O569" s="56">
        <v>137</v>
      </c>
      <c r="P569" s="56">
        <v>0</v>
      </c>
      <c r="Q569" s="56">
        <v>0</v>
      </c>
      <c r="R569" s="56">
        <v>0</v>
      </c>
      <c r="S569" s="56">
        <v>0</v>
      </c>
      <c r="T569" s="55" t="s">
        <v>1152</v>
      </c>
      <c r="U569" s="55" t="s">
        <v>1145</v>
      </c>
      <c r="V569" s="55" t="s">
        <v>1153</v>
      </c>
      <c r="W569" s="55" t="s">
        <v>1180</v>
      </c>
      <c r="X569" s="55" t="s">
        <v>1154</v>
      </c>
      <c r="Y569" s="55" t="s">
        <v>1392</v>
      </c>
      <c r="Z569" s="55" t="s">
        <v>1330</v>
      </c>
    </row>
    <row r="570" spans="1:26">
      <c r="A570" s="55" t="s">
        <v>1114</v>
      </c>
      <c r="B570" s="55" t="s">
        <v>563</v>
      </c>
      <c r="C570" s="55" t="s">
        <v>1191</v>
      </c>
      <c r="D570" s="55" t="s">
        <v>1143</v>
      </c>
      <c r="E570" s="55" t="s">
        <v>1143</v>
      </c>
      <c r="F570" s="55" t="s">
        <v>73</v>
      </c>
      <c r="G570" s="56">
        <v>1</v>
      </c>
      <c r="H570" s="56">
        <v>1</v>
      </c>
      <c r="I570" s="56">
        <v>0</v>
      </c>
      <c r="J570" s="56">
        <v>23</v>
      </c>
      <c r="K570" s="56">
        <v>0</v>
      </c>
      <c r="L570" s="56">
        <v>1326100000</v>
      </c>
      <c r="M570" s="56">
        <v>275802597.52</v>
      </c>
      <c r="N570" s="56">
        <v>5286350523.12</v>
      </c>
      <c r="O570" s="56">
        <v>155</v>
      </c>
      <c r="P570" s="56">
        <v>0</v>
      </c>
      <c r="Q570" s="56">
        <v>0</v>
      </c>
      <c r="R570" s="56">
        <v>0</v>
      </c>
      <c r="S570" s="56">
        <v>0</v>
      </c>
      <c r="T570" s="55" t="s">
        <v>1152</v>
      </c>
      <c r="U570" s="55" t="s">
        <v>1165</v>
      </c>
      <c r="V570" s="55" t="s">
        <v>1146</v>
      </c>
      <c r="W570" s="55" t="s">
        <v>1180</v>
      </c>
      <c r="X570" s="55" t="s">
        <v>1198</v>
      </c>
      <c r="Y570" s="55" t="s">
        <v>1155</v>
      </c>
      <c r="Z570" s="55" t="s">
        <v>1172</v>
      </c>
    </row>
    <row r="571" spans="1:26">
      <c r="A571" s="55" t="s">
        <v>1115</v>
      </c>
      <c r="B571" s="55" t="s">
        <v>272</v>
      </c>
      <c r="C571" s="55" t="s">
        <v>1142</v>
      </c>
      <c r="D571" s="55" t="s">
        <v>1143</v>
      </c>
      <c r="E571" s="55" t="s">
        <v>1143</v>
      </c>
      <c r="F571" s="55" t="s">
        <v>73</v>
      </c>
      <c r="G571" s="56">
        <v>1</v>
      </c>
      <c r="H571" s="56">
        <v>1</v>
      </c>
      <c r="I571" s="56">
        <v>0</v>
      </c>
      <c r="J571" s="56">
        <v>21</v>
      </c>
      <c r="K571" s="56">
        <v>0</v>
      </c>
      <c r="L571" s="56">
        <v>318860000</v>
      </c>
      <c r="M571" s="56">
        <v>3371489.25</v>
      </c>
      <c r="N571" s="56">
        <v>67429784.94</v>
      </c>
      <c r="O571" s="56">
        <v>52</v>
      </c>
      <c r="P571" s="56">
        <v>0</v>
      </c>
      <c r="Q571" s="56">
        <v>0</v>
      </c>
      <c r="R571" s="56">
        <v>0</v>
      </c>
      <c r="S571" s="56">
        <v>0</v>
      </c>
      <c r="T571" s="55" t="s">
        <v>1167</v>
      </c>
      <c r="U571" s="55" t="s">
        <v>1145</v>
      </c>
      <c r="V571" s="55" t="s">
        <v>1153</v>
      </c>
      <c r="W571" s="55" t="s">
        <v>1147</v>
      </c>
      <c r="X571" s="55" t="s">
        <v>1154</v>
      </c>
      <c r="Y571" s="55" t="s">
        <v>1155</v>
      </c>
      <c r="Z571" s="55" t="s">
        <v>1185</v>
      </c>
    </row>
    <row r="572" spans="1:26">
      <c r="A572" s="55" t="s">
        <v>1116</v>
      </c>
      <c r="B572" s="55" t="s">
        <v>272</v>
      </c>
      <c r="C572" s="55" t="s">
        <v>1187</v>
      </c>
      <c r="D572" s="55" t="s">
        <v>1143</v>
      </c>
      <c r="E572" s="55" t="s">
        <v>1188</v>
      </c>
      <c r="F572" s="55" t="s">
        <v>73</v>
      </c>
      <c r="G572" s="56">
        <v>1</v>
      </c>
      <c r="H572" s="56">
        <v>2</v>
      </c>
      <c r="I572" s="56">
        <v>0</v>
      </c>
      <c r="J572" s="56">
        <v>12</v>
      </c>
      <c r="K572" s="56">
        <v>0</v>
      </c>
      <c r="L572" s="56">
        <v>1178418.08</v>
      </c>
      <c r="M572" s="56">
        <v>746266.92</v>
      </c>
      <c r="N572" s="56">
        <v>36682227.08</v>
      </c>
      <c r="O572" s="56">
        <v>62</v>
      </c>
      <c r="P572" s="56">
        <v>0</v>
      </c>
      <c r="Q572" s="56">
        <v>0</v>
      </c>
      <c r="R572" s="56">
        <v>0</v>
      </c>
      <c r="S572" s="56">
        <v>0</v>
      </c>
      <c r="T572" s="55" t="s">
        <v>1144</v>
      </c>
      <c r="U572" s="55" t="s">
        <v>1145</v>
      </c>
      <c r="V572" s="55" t="s">
        <v>1146</v>
      </c>
      <c r="W572" s="55" t="s">
        <v>1168</v>
      </c>
      <c r="X572" s="55" t="s">
        <v>1154</v>
      </c>
      <c r="Y572" s="55" t="s">
        <v>1393</v>
      </c>
      <c r="Z572" s="55" t="s">
        <v>1226</v>
      </c>
    </row>
    <row r="573" spans="1:26">
      <c r="A573" s="55" t="s">
        <v>1117</v>
      </c>
      <c r="B573" s="55" t="s">
        <v>272</v>
      </c>
      <c r="C573" s="55" t="s">
        <v>1142</v>
      </c>
      <c r="D573" s="55" t="s">
        <v>1143</v>
      </c>
      <c r="E573" s="55" t="s">
        <v>1143</v>
      </c>
      <c r="F573" s="55" t="s">
        <v>73</v>
      </c>
      <c r="G573" s="56">
        <v>1</v>
      </c>
      <c r="H573" s="56">
        <v>1</v>
      </c>
      <c r="I573" s="56">
        <v>0</v>
      </c>
      <c r="J573" s="56">
        <v>23</v>
      </c>
      <c r="K573" s="56">
        <v>0</v>
      </c>
      <c r="L573" s="56">
        <v>5107222</v>
      </c>
      <c r="M573" s="56">
        <v>7525545.28</v>
      </c>
      <c r="N573" s="56">
        <v>274616508</v>
      </c>
      <c r="O573" s="56">
        <v>69</v>
      </c>
      <c r="P573" s="56">
        <v>0</v>
      </c>
      <c r="Q573" s="56">
        <v>0</v>
      </c>
      <c r="R573" s="56">
        <v>0</v>
      </c>
      <c r="S573" s="56">
        <v>0</v>
      </c>
      <c r="T573" s="55" t="s">
        <v>1157</v>
      </c>
      <c r="U573" s="55" t="s">
        <v>1145</v>
      </c>
      <c r="V573" s="55" t="s">
        <v>1153</v>
      </c>
      <c r="W573" s="55" t="s">
        <v>1168</v>
      </c>
      <c r="X573" s="55" t="s">
        <v>1154</v>
      </c>
      <c r="Y573" s="55" t="s">
        <v>1393</v>
      </c>
      <c r="Z573" s="55" t="s">
        <v>1182</v>
      </c>
    </row>
    <row r="574" spans="1:26">
      <c r="A574" s="55" t="s">
        <v>1118</v>
      </c>
      <c r="B574" s="55" t="s">
        <v>272</v>
      </c>
      <c r="C574" s="55" t="s">
        <v>1142</v>
      </c>
      <c r="D574" s="55" t="s">
        <v>1143</v>
      </c>
      <c r="E574" s="55" t="s">
        <v>1143</v>
      </c>
      <c r="F574" s="55" t="s">
        <v>73</v>
      </c>
      <c r="G574" s="56">
        <v>1</v>
      </c>
      <c r="H574" s="56">
        <v>1</v>
      </c>
      <c r="I574" s="56">
        <v>0</v>
      </c>
      <c r="J574" s="56">
        <v>3</v>
      </c>
      <c r="K574" s="56">
        <v>0</v>
      </c>
      <c r="L574" s="56">
        <v>12239134.65</v>
      </c>
      <c r="M574" s="56">
        <v>4746111.21</v>
      </c>
      <c r="N574" s="56">
        <v>8514134.65</v>
      </c>
      <c r="O574" s="56">
        <v>19</v>
      </c>
      <c r="P574" s="56">
        <v>0</v>
      </c>
      <c r="Q574" s="56">
        <v>0</v>
      </c>
      <c r="R574" s="56">
        <v>0</v>
      </c>
      <c r="S574" s="56">
        <v>0</v>
      </c>
      <c r="T574" s="55" t="s">
        <v>1157</v>
      </c>
      <c r="U574" s="55" t="s">
        <v>1165</v>
      </c>
      <c r="V574" s="55" t="s">
        <v>1153</v>
      </c>
      <c r="W574" s="55" t="s">
        <v>1180</v>
      </c>
      <c r="X574" s="55" t="s">
        <v>1154</v>
      </c>
      <c r="Y574" s="55" t="s">
        <v>1394</v>
      </c>
      <c r="Z574" s="55" t="s">
        <v>1166</v>
      </c>
    </row>
    <row r="575" spans="1:26">
      <c r="A575" s="55" t="s">
        <v>1119</v>
      </c>
      <c r="B575" s="55" t="s">
        <v>272</v>
      </c>
      <c r="C575" s="55" t="s">
        <v>1142</v>
      </c>
      <c r="D575" s="55" t="s">
        <v>1143</v>
      </c>
      <c r="E575" s="55" t="s">
        <v>1143</v>
      </c>
      <c r="F575" s="55" t="s">
        <v>73</v>
      </c>
      <c r="G575" s="56">
        <v>1</v>
      </c>
      <c r="H575" s="56">
        <v>1</v>
      </c>
      <c r="I575" s="56">
        <v>0</v>
      </c>
      <c r="J575" s="56">
        <v>4</v>
      </c>
      <c r="K575" s="56">
        <v>0</v>
      </c>
      <c r="L575" s="56">
        <v>1006668</v>
      </c>
      <c r="M575" s="56">
        <v>321166.98</v>
      </c>
      <c r="N575" s="56">
        <v>1006668</v>
      </c>
      <c r="O575" s="56">
        <v>8</v>
      </c>
      <c r="P575" s="56">
        <v>0</v>
      </c>
      <c r="Q575" s="56">
        <v>0</v>
      </c>
      <c r="R575" s="56">
        <v>0</v>
      </c>
      <c r="S575" s="56">
        <v>0</v>
      </c>
      <c r="T575" s="55" t="s">
        <v>1162</v>
      </c>
      <c r="U575" s="55" t="s">
        <v>1145</v>
      </c>
      <c r="V575" s="55" t="s">
        <v>1153</v>
      </c>
      <c r="W575" s="55" t="s">
        <v>1168</v>
      </c>
      <c r="X575" s="55" t="s">
        <v>1221</v>
      </c>
      <c r="Y575" s="55" t="s">
        <v>1395</v>
      </c>
      <c r="Z575" s="55" t="s">
        <v>1185</v>
      </c>
    </row>
    <row r="576" spans="1:26">
      <c r="A576" s="55" t="s">
        <v>1120</v>
      </c>
      <c r="B576" s="55" t="s">
        <v>272</v>
      </c>
      <c r="C576" s="55" t="s">
        <v>1142</v>
      </c>
      <c r="D576" s="55" t="s">
        <v>1143</v>
      </c>
      <c r="E576" s="55" t="s">
        <v>1143</v>
      </c>
      <c r="F576" s="55" t="s">
        <v>73</v>
      </c>
      <c r="G576" s="56">
        <v>1</v>
      </c>
      <c r="H576" s="56">
        <v>1</v>
      </c>
      <c r="I576" s="56">
        <v>0</v>
      </c>
      <c r="J576" s="56">
        <v>11</v>
      </c>
      <c r="K576" s="56">
        <v>0</v>
      </c>
      <c r="L576" s="56">
        <v>45843136.15</v>
      </c>
      <c r="M576" s="56">
        <v>14721086.37</v>
      </c>
      <c r="N576" s="56">
        <v>654055242.64</v>
      </c>
      <c r="O576" s="56">
        <v>131</v>
      </c>
      <c r="P576" s="56">
        <v>0</v>
      </c>
      <c r="Q576" s="56">
        <v>0</v>
      </c>
      <c r="R576" s="56">
        <v>0</v>
      </c>
      <c r="S576" s="56">
        <v>0</v>
      </c>
      <c r="T576" s="55" t="s">
        <v>1152</v>
      </c>
      <c r="U576" s="55" t="s">
        <v>1145</v>
      </c>
      <c r="V576" s="55" t="s">
        <v>1153</v>
      </c>
      <c r="W576" s="55" t="s">
        <v>1147</v>
      </c>
      <c r="X576" s="55" t="s">
        <v>1292</v>
      </c>
      <c r="Y576" s="55" t="s">
        <v>1155</v>
      </c>
      <c r="Z576" s="55" t="s">
        <v>1166</v>
      </c>
    </row>
    <row r="577" spans="1:26">
      <c r="A577" s="55" t="s">
        <v>1121</v>
      </c>
      <c r="B577" s="55" t="s">
        <v>272</v>
      </c>
      <c r="C577" s="55" t="s">
        <v>1142</v>
      </c>
      <c r="D577" s="55" t="s">
        <v>1143</v>
      </c>
      <c r="E577" s="55" t="s">
        <v>1143</v>
      </c>
      <c r="F577" s="55" t="s">
        <v>73</v>
      </c>
      <c r="G577" s="56">
        <v>1</v>
      </c>
      <c r="H577" s="56">
        <v>1</v>
      </c>
      <c r="I577" s="56">
        <v>0</v>
      </c>
      <c r="J577" s="56">
        <v>8</v>
      </c>
      <c r="K577" s="56">
        <v>0</v>
      </c>
      <c r="L577" s="56">
        <v>699108000</v>
      </c>
      <c r="M577" s="56">
        <v>2389593.88</v>
      </c>
      <c r="N577" s="56">
        <v>47791877.6</v>
      </c>
      <c r="O577" s="56">
        <v>181</v>
      </c>
      <c r="P577" s="56">
        <v>0</v>
      </c>
      <c r="Q577" s="56">
        <v>0</v>
      </c>
      <c r="R577" s="56">
        <v>0</v>
      </c>
      <c r="S577" s="56">
        <v>0</v>
      </c>
      <c r="T577" s="55" t="s">
        <v>1152</v>
      </c>
      <c r="U577" s="55" t="s">
        <v>1145</v>
      </c>
      <c r="V577" s="55" t="s">
        <v>1153</v>
      </c>
      <c r="W577" s="55" t="s">
        <v>1147</v>
      </c>
      <c r="X577" s="55" t="s">
        <v>1148</v>
      </c>
      <c r="Y577" s="55" t="s">
        <v>1276</v>
      </c>
      <c r="Z577" s="55" t="s">
        <v>1166</v>
      </c>
    </row>
    <row r="578" spans="1:26">
      <c r="A578" s="55" t="s">
        <v>1122</v>
      </c>
      <c r="B578" s="55" t="s">
        <v>272</v>
      </c>
      <c r="C578" s="55" t="s">
        <v>1187</v>
      </c>
      <c r="D578" s="55" t="s">
        <v>1188</v>
      </c>
      <c r="E578" s="55" t="s">
        <v>1188</v>
      </c>
      <c r="F578" s="55" t="s">
        <v>74</v>
      </c>
      <c r="G578" s="56">
        <v>2</v>
      </c>
      <c r="H578" s="56">
        <v>2</v>
      </c>
      <c r="I578" s="56">
        <v>0</v>
      </c>
      <c r="J578" s="56">
        <v>18</v>
      </c>
      <c r="K578" s="56">
        <v>2</v>
      </c>
      <c r="L578" s="56">
        <v>594510000</v>
      </c>
      <c r="M578" s="56">
        <v>17067284.56</v>
      </c>
      <c r="N578" s="56">
        <v>341345691.11</v>
      </c>
      <c r="O578" s="56">
        <v>221</v>
      </c>
      <c r="P578" s="56">
        <v>0</v>
      </c>
      <c r="Q578" s="56">
        <v>0</v>
      </c>
      <c r="R578" s="56">
        <v>0</v>
      </c>
      <c r="S578" s="56">
        <v>0</v>
      </c>
      <c r="T578" s="55" t="s">
        <v>1255</v>
      </c>
      <c r="U578" s="55" t="s">
        <v>1165</v>
      </c>
      <c r="V578" s="55" t="s">
        <v>1146</v>
      </c>
      <c r="W578" s="55" t="s">
        <v>1168</v>
      </c>
      <c r="X578" s="55" t="s">
        <v>1154</v>
      </c>
      <c r="Y578" s="55" t="s">
        <v>1396</v>
      </c>
      <c r="Z578" s="55" t="s">
        <v>1185</v>
      </c>
    </row>
    <row r="579" spans="1:26">
      <c r="A579" s="55" t="s">
        <v>1123</v>
      </c>
      <c r="B579" s="55" t="s">
        <v>272</v>
      </c>
      <c r="C579" s="55" t="s">
        <v>1142</v>
      </c>
      <c r="D579" s="55" t="s">
        <v>1143</v>
      </c>
      <c r="E579" s="55" t="s">
        <v>1143</v>
      </c>
      <c r="F579" s="55" t="s">
        <v>73</v>
      </c>
      <c r="G579" s="56">
        <v>1</v>
      </c>
      <c r="H579" s="56">
        <v>1</v>
      </c>
      <c r="I579" s="56">
        <v>0</v>
      </c>
      <c r="J579" s="56">
        <v>7</v>
      </c>
      <c r="K579" s="56">
        <v>0</v>
      </c>
      <c r="L579" s="56">
        <v>654110000</v>
      </c>
      <c r="M579" s="56">
        <v>443888.03</v>
      </c>
      <c r="N579" s="56">
        <v>8877760.59</v>
      </c>
      <c r="O579" s="56">
        <v>28</v>
      </c>
      <c r="P579" s="56">
        <v>0</v>
      </c>
      <c r="Q579" s="56">
        <v>0</v>
      </c>
      <c r="R579" s="56">
        <v>0</v>
      </c>
      <c r="S579" s="56">
        <v>0</v>
      </c>
      <c r="T579" s="55" t="s">
        <v>1167</v>
      </c>
      <c r="U579" s="55" t="s">
        <v>1145</v>
      </c>
      <c r="V579" s="55" t="s">
        <v>1153</v>
      </c>
      <c r="W579" s="55" t="s">
        <v>1180</v>
      </c>
      <c r="X579" s="55" t="s">
        <v>1154</v>
      </c>
      <c r="Y579" s="55" t="s">
        <v>1396</v>
      </c>
      <c r="Z579" s="55" t="s">
        <v>1229</v>
      </c>
    </row>
    <row r="580" spans="1:26">
      <c r="A580" s="55" t="s">
        <v>1124</v>
      </c>
      <c r="B580" s="55" t="s">
        <v>272</v>
      </c>
      <c r="C580" s="55" t="s">
        <v>1142</v>
      </c>
      <c r="D580" s="55" t="s">
        <v>1143</v>
      </c>
      <c r="E580" s="55" t="s">
        <v>1143</v>
      </c>
      <c r="F580" s="55" t="s">
        <v>73</v>
      </c>
      <c r="G580" s="56">
        <v>1</v>
      </c>
      <c r="H580" s="56">
        <v>1</v>
      </c>
      <c r="I580" s="56">
        <v>0</v>
      </c>
      <c r="J580" s="56">
        <v>35</v>
      </c>
      <c r="K580" s="56">
        <v>0</v>
      </c>
      <c r="L580" s="56">
        <v>7122441.54</v>
      </c>
      <c r="M580" s="56">
        <v>1881656.78</v>
      </c>
      <c r="N580" s="56">
        <v>7122441.54</v>
      </c>
      <c r="O580" s="56">
        <v>31</v>
      </c>
      <c r="P580" s="56">
        <v>0</v>
      </c>
      <c r="Q580" s="56">
        <v>0</v>
      </c>
      <c r="R580" s="56">
        <v>0</v>
      </c>
      <c r="S580" s="56">
        <v>0</v>
      </c>
      <c r="T580" s="55" t="s">
        <v>1157</v>
      </c>
      <c r="U580" s="55" t="s">
        <v>1165</v>
      </c>
      <c r="V580" s="55" t="s">
        <v>1153</v>
      </c>
      <c r="W580" s="55" t="s">
        <v>1147</v>
      </c>
      <c r="X580" s="55" t="s">
        <v>1221</v>
      </c>
      <c r="Y580" s="55" t="s">
        <v>1396</v>
      </c>
      <c r="Z580" s="55" t="s">
        <v>1156</v>
      </c>
    </row>
    <row r="581" spans="1:26">
      <c r="A581" s="55" t="s">
        <v>1125</v>
      </c>
      <c r="B581" s="55" t="s">
        <v>272</v>
      </c>
      <c r="C581" s="55" t="s">
        <v>1142</v>
      </c>
      <c r="D581" s="55" t="s">
        <v>1143</v>
      </c>
      <c r="E581" s="55" t="s">
        <v>1143</v>
      </c>
      <c r="F581" s="55" t="s">
        <v>73</v>
      </c>
      <c r="G581" s="56">
        <v>1</v>
      </c>
      <c r="H581" s="56">
        <v>1</v>
      </c>
      <c r="I581" s="56">
        <v>0</v>
      </c>
      <c r="J581" s="56">
        <v>2</v>
      </c>
      <c r="K581" s="56">
        <v>0</v>
      </c>
      <c r="L581" s="56">
        <v>14900000</v>
      </c>
      <c r="M581" s="56">
        <v>5662520.15</v>
      </c>
      <c r="N581" s="56">
        <v>538239960.9</v>
      </c>
      <c r="O581" s="56">
        <v>26</v>
      </c>
      <c r="P581" s="56">
        <v>0</v>
      </c>
      <c r="Q581" s="56">
        <v>0</v>
      </c>
      <c r="R581" s="56">
        <v>0</v>
      </c>
      <c r="S581" s="56">
        <v>0</v>
      </c>
      <c r="T581" s="55" t="s">
        <v>1167</v>
      </c>
      <c r="U581" s="55" t="s">
        <v>1145</v>
      </c>
      <c r="V581" s="55" t="s">
        <v>1153</v>
      </c>
      <c r="W581" s="55" t="s">
        <v>1168</v>
      </c>
      <c r="X581" s="55" t="s">
        <v>1154</v>
      </c>
      <c r="Y581" s="55" t="s">
        <v>1396</v>
      </c>
      <c r="Z581" s="55" t="s">
        <v>1196</v>
      </c>
    </row>
    <row r="582" spans="1:26">
      <c r="A582" s="55" t="s">
        <v>1126</v>
      </c>
      <c r="B582" s="55" t="s">
        <v>272</v>
      </c>
      <c r="C582" s="55" t="s">
        <v>1236</v>
      </c>
      <c r="D582" s="55" t="s">
        <v>85</v>
      </c>
      <c r="E582" s="55" t="s">
        <v>85</v>
      </c>
      <c r="F582" s="55" t="s">
        <v>75</v>
      </c>
      <c r="G582" s="56">
        <v>3</v>
      </c>
      <c r="H582" s="56">
        <v>3</v>
      </c>
      <c r="I582" s="56">
        <v>108</v>
      </c>
      <c r="J582" s="56">
        <v>21</v>
      </c>
      <c r="K582" s="56">
        <v>1</v>
      </c>
      <c r="L582" s="56">
        <v>16230256.11</v>
      </c>
      <c r="M582" s="56">
        <v>8816702.279999999</v>
      </c>
      <c r="N582" s="56">
        <v>357946962.6800001</v>
      </c>
      <c r="O582" s="56">
        <v>85</v>
      </c>
      <c r="P582" s="56">
        <v>0</v>
      </c>
      <c r="Q582" s="56">
        <v>1</v>
      </c>
      <c r="R582" s="56">
        <v>1</v>
      </c>
      <c r="S582" s="56">
        <v>1</v>
      </c>
      <c r="T582" s="55" t="s">
        <v>1152</v>
      </c>
      <c r="U582" s="55" t="s">
        <v>1145</v>
      </c>
      <c r="V582" s="55" t="s">
        <v>1146</v>
      </c>
      <c r="W582" s="55" t="s">
        <v>1272</v>
      </c>
      <c r="X582" s="55" t="s">
        <v>1163</v>
      </c>
      <c r="Y582" s="55" t="s">
        <v>1397</v>
      </c>
      <c r="Z582" s="55" t="s">
        <v>1230</v>
      </c>
    </row>
    <row r="583" spans="1:26">
      <c r="A583" s="55" t="s">
        <v>1127</v>
      </c>
      <c r="B583" s="55" t="s">
        <v>272</v>
      </c>
      <c r="C583" s="55" t="s">
        <v>1142</v>
      </c>
      <c r="D583" s="55" t="s">
        <v>1143</v>
      </c>
      <c r="E583" s="55" t="s">
        <v>1143</v>
      </c>
      <c r="F583" s="55" t="s">
        <v>73</v>
      </c>
      <c r="G583" s="56">
        <v>1</v>
      </c>
      <c r="H583" s="56">
        <v>1</v>
      </c>
      <c r="I583" s="56">
        <v>0</v>
      </c>
      <c r="J583" s="56">
        <v>1</v>
      </c>
      <c r="K583" s="56">
        <v>0</v>
      </c>
      <c r="L583" s="56">
        <v>37250000</v>
      </c>
      <c r="M583" s="56">
        <v>173316</v>
      </c>
      <c r="N583" s="56">
        <v>3466320</v>
      </c>
      <c r="O583" s="56">
        <v>39</v>
      </c>
      <c r="P583" s="56">
        <v>0</v>
      </c>
      <c r="Q583" s="56">
        <v>0</v>
      </c>
      <c r="R583" s="56">
        <v>0</v>
      </c>
      <c r="S583" s="56">
        <v>0</v>
      </c>
      <c r="T583" s="55" t="s">
        <v>1167</v>
      </c>
      <c r="U583" s="55" t="s">
        <v>1165</v>
      </c>
      <c r="V583" s="55" t="s">
        <v>1153</v>
      </c>
      <c r="W583" s="55" t="s">
        <v>1168</v>
      </c>
      <c r="X583" s="55" t="s">
        <v>1154</v>
      </c>
      <c r="Y583" s="55" t="s">
        <v>1398</v>
      </c>
      <c r="Z583" s="55" t="s">
        <v>1177</v>
      </c>
    </row>
    <row r="584" spans="1:26">
      <c r="A584" s="55" t="s">
        <v>1128</v>
      </c>
      <c r="B584" s="55" t="s">
        <v>272</v>
      </c>
      <c r="C584" s="55" t="s">
        <v>1142</v>
      </c>
      <c r="D584" s="55" t="s">
        <v>1143</v>
      </c>
      <c r="E584" s="55" t="s">
        <v>1143</v>
      </c>
      <c r="F584" s="55" t="s">
        <v>73</v>
      </c>
      <c r="G584" s="56">
        <v>1</v>
      </c>
      <c r="H584" s="56">
        <v>1</v>
      </c>
      <c r="I584" s="56">
        <v>0</v>
      </c>
      <c r="J584" s="56">
        <v>36</v>
      </c>
      <c r="K584" s="56">
        <v>0</v>
      </c>
      <c r="L584" s="56">
        <v>2075391.52</v>
      </c>
      <c r="M584" s="56">
        <v>1740452.75</v>
      </c>
      <c r="N584" s="56">
        <v>2075391.52</v>
      </c>
      <c r="O584" s="56">
        <v>38</v>
      </c>
      <c r="P584" s="56">
        <v>0</v>
      </c>
      <c r="Q584" s="56">
        <v>0</v>
      </c>
      <c r="R584" s="56">
        <v>0</v>
      </c>
      <c r="S584" s="56">
        <v>0</v>
      </c>
      <c r="T584" s="55" t="s">
        <v>1157</v>
      </c>
      <c r="U584" s="55" t="s">
        <v>1145</v>
      </c>
      <c r="V584" s="55" t="s">
        <v>1314</v>
      </c>
      <c r="W584" s="55" t="s">
        <v>1147</v>
      </c>
      <c r="X584" s="55" t="s">
        <v>1154</v>
      </c>
      <c r="Y584" s="55" t="s">
        <v>1284</v>
      </c>
      <c r="Z584" s="55" t="s">
        <v>1230</v>
      </c>
    </row>
    <row r="585" spans="1:26">
      <c r="A585" s="55" t="s">
        <v>1129</v>
      </c>
      <c r="B585" s="55" t="s">
        <v>272</v>
      </c>
      <c r="C585" s="55" t="s">
        <v>1142</v>
      </c>
      <c r="D585" s="55" t="s">
        <v>1143</v>
      </c>
      <c r="E585" s="55" t="s">
        <v>1143</v>
      </c>
      <c r="F585" s="55" t="s">
        <v>73</v>
      </c>
      <c r="G585" s="56">
        <v>1</v>
      </c>
      <c r="H585" s="56">
        <v>1</v>
      </c>
      <c r="I585" s="56">
        <v>0</v>
      </c>
      <c r="J585" s="56">
        <v>2</v>
      </c>
      <c r="K585" s="56">
        <v>0</v>
      </c>
      <c r="L585" s="56">
        <v>0</v>
      </c>
      <c r="M585" s="56">
        <v>42057897.16</v>
      </c>
      <c r="N585" s="56">
        <v>0</v>
      </c>
      <c r="O585" s="56">
        <v>78</v>
      </c>
      <c r="P585" s="56">
        <v>1</v>
      </c>
      <c r="Q585" s="56">
        <v>0</v>
      </c>
      <c r="R585" s="56">
        <v>0</v>
      </c>
      <c r="S585" s="56">
        <v>0</v>
      </c>
      <c r="T585" s="55" t="s">
        <v>1173</v>
      </c>
      <c r="U585" s="55" t="s">
        <v>1145</v>
      </c>
      <c r="V585" s="55" t="s">
        <v>1153</v>
      </c>
      <c r="W585" s="55" t="s">
        <v>1147</v>
      </c>
      <c r="X585" s="55" t="s">
        <v>1159</v>
      </c>
      <c r="Y585" s="55" t="s">
        <v>1155</v>
      </c>
      <c r="Z585" s="55" t="s">
        <v>1193</v>
      </c>
    </row>
    <row r="586" spans="1:26">
      <c r="A586" s="55" t="s">
        <v>1130</v>
      </c>
      <c r="B586" s="55" t="s">
        <v>563</v>
      </c>
      <c r="C586" s="55" t="s">
        <v>1191</v>
      </c>
      <c r="D586" s="55" t="s">
        <v>1143</v>
      </c>
      <c r="E586" s="55" t="s">
        <v>1143</v>
      </c>
      <c r="F586" s="55" t="s">
        <v>73</v>
      </c>
      <c r="G586" s="56">
        <v>1</v>
      </c>
      <c r="H586" s="56">
        <v>1</v>
      </c>
      <c r="I586" s="56">
        <v>0</v>
      </c>
      <c r="J586" s="56">
        <v>5</v>
      </c>
      <c r="K586" s="56">
        <v>0</v>
      </c>
      <c r="L586" s="56">
        <v>0</v>
      </c>
      <c r="M586" s="56">
        <v>64877083.33</v>
      </c>
      <c r="N586" s="56">
        <v>5259800377</v>
      </c>
      <c r="O586" s="56">
        <v>33</v>
      </c>
      <c r="P586" s="56">
        <v>1</v>
      </c>
      <c r="Q586" s="56">
        <v>0</v>
      </c>
      <c r="R586" s="56">
        <v>0</v>
      </c>
      <c r="S586" s="56">
        <v>0</v>
      </c>
      <c r="T586" s="55" t="s">
        <v>1157</v>
      </c>
      <c r="U586" s="55" t="s">
        <v>1145</v>
      </c>
      <c r="V586" s="55" t="s">
        <v>1153</v>
      </c>
      <c r="W586" s="55" t="s">
        <v>1147</v>
      </c>
      <c r="X586" s="55" t="s">
        <v>1154</v>
      </c>
      <c r="Y586" s="55" t="s">
        <v>1399</v>
      </c>
      <c r="Z586" s="55" t="s">
        <v>1193</v>
      </c>
    </row>
    <row r="587" spans="1:26">
      <c r="A587" s="55" t="s">
        <v>1131</v>
      </c>
      <c r="B587" s="55" t="s">
        <v>272</v>
      </c>
      <c r="C587" s="55" t="s">
        <v>1187</v>
      </c>
      <c r="D587" s="55" t="s">
        <v>1188</v>
      </c>
      <c r="E587" s="55" t="s">
        <v>1188</v>
      </c>
      <c r="F587" s="55" t="s">
        <v>74</v>
      </c>
      <c r="G587" s="56">
        <v>2</v>
      </c>
      <c r="H587" s="56">
        <v>2</v>
      </c>
      <c r="I587" s="56">
        <v>0</v>
      </c>
      <c r="J587" s="56">
        <v>4</v>
      </c>
      <c r="K587" s="56">
        <v>1</v>
      </c>
      <c r="L587" s="56">
        <v>11586556.28</v>
      </c>
      <c r="M587" s="56">
        <v>23219980.43</v>
      </c>
      <c r="N587" s="56">
        <v>573861070.3</v>
      </c>
      <c r="O587" s="56">
        <v>10</v>
      </c>
      <c r="P587" s="56">
        <v>0</v>
      </c>
      <c r="Q587" s="56">
        <v>0</v>
      </c>
      <c r="R587" s="56">
        <v>0</v>
      </c>
      <c r="S587" s="56">
        <v>0</v>
      </c>
      <c r="T587" s="55" t="s">
        <v>1157</v>
      </c>
      <c r="U587" s="55" t="s">
        <v>1145</v>
      </c>
      <c r="V587" s="55" t="s">
        <v>1153</v>
      </c>
      <c r="W587" s="55" t="s">
        <v>1168</v>
      </c>
      <c r="X587" s="55" t="s">
        <v>1154</v>
      </c>
      <c r="Y587" s="55" t="s">
        <v>1400</v>
      </c>
      <c r="Z587" s="55" t="s">
        <v>1261</v>
      </c>
    </row>
    <row r="588" spans="1:26">
      <c r="A588" s="55" t="s">
        <v>1132</v>
      </c>
      <c r="B588" s="55" t="s">
        <v>272</v>
      </c>
      <c r="C588" s="55" t="s">
        <v>1142</v>
      </c>
      <c r="D588" s="55" t="s">
        <v>1143</v>
      </c>
      <c r="E588" s="55" t="s">
        <v>1143</v>
      </c>
      <c r="F588" s="55" t="s">
        <v>73</v>
      </c>
      <c r="G588" s="56">
        <v>1</v>
      </c>
      <c r="H588" s="56">
        <v>1</v>
      </c>
      <c r="I588" s="56">
        <v>0</v>
      </c>
      <c r="J588" s="56">
        <v>6</v>
      </c>
      <c r="K588" s="56">
        <v>0</v>
      </c>
      <c r="L588" s="56">
        <v>447000000</v>
      </c>
      <c r="M588" s="56">
        <v>75959869.59999999</v>
      </c>
      <c r="N588" s="56">
        <v>4915027153</v>
      </c>
      <c r="O588" s="56">
        <v>143</v>
      </c>
      <c r="P588" s="56">
        <v>0</v>
      </c>
      <c r="Q588" s="56">
        <v>0</v>
      </c>
      <c r="R588" s="56">
        <v>0</v>
      </c>
      <c r="S588" s="56">
        <v>0</v>
      </c>
      <c r="T588" s="55" t="s">
        <v>1173</v>
      </c>
      <c r="U588" s="55" t="s">
        <v>1145</v>
      </c>
      <c r="V588" s="55" t="s">
        <v>1146</v>
      </c>
      <c r="W588" s="55" t="s">
        <v>1181</v>
      </c>
      <c r="X588" s="55" t="s">
        <v>1159</v>
      </c>
      <c r="Y588" s="55" t="s">
        <v>1401</v>
      </c>
      <c r="Z588" s="55" t="s">
        <v>1185</v>
      </c>
    </row>
  </sheetData>
  <autoFilter ref="A1:Z588"/>
  <pageMargins left="0.7" right="0.7" top="0.75" bottom="0.75" header="0.3" footer="0.3"/>
  <pageSetup paperSize="9" fitToHeight="0" orientation="landscape"/>
  <legacyDrawing r:id="rId1"/>
</worksheet>
</file>

<file path=xl/worksheets/sheet13.xml><?xml version="1.0" encoding="utf-8"?>
<worksheet xmlns="http://schemas.openxmlformats.org/spreadsheetml/2006/main" xmlns:r="http://schemas.openxmlformats.org/officeDocument/2006/relationships">
  <sheetPr>
    <tabColor rgb="FF8B9299"/>
    <pageSetUpPr fitToPage="1"/>
  </sheetPr>
  <dimension ref="A1:L25"/>
  <sheetViews>
    <sheetView zoomScale="85" zoomScaleNormal="85"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4.7109375" style="55" customWidth="1"/>
    <col min="2" max="2" width="10.28515625" style="56" customWidth="1"/>
    <col min="3" max="3" width="13.7109375" style="55" customWidth="1"/>
    <col min="4" max="5" width="13.28515625" style="56" customWidth="1"/>
    <col min="6" max="6" width="10.28515625" style="56" customWidth="1"/>
    <col min="7" max="7" width="12.5703125" style="56" customWidth="1"/>
    <col min="8" max="8" width="10.28515625" style="56" customWidth="1"/>
    <col min="9" max="9" width="12.5703125" style="56" customWidth="1"/>
    <col min="10" max="10" width="10.28515625" style="56" customWidth="1"/>
    <col min="11" max="11" width="12.5703125" style="56" customWidth="1"/>
    <col min="12" max="12" width="10.28515625" style="56" customWidth="1"/>
  </cols>
  <sheetData>
    <row r="1" spans="1:12" ht="30" customHeight="1">
      <c r="A1" s="57" t="s">
        <v>1402</v>
      </c>
      <c r="B1" s="57" t="s">
        <v>1403</v>
      </c>
      <c r="C1" s="57" t="s">
        <v>27</v>
      </c>
      <c r="D1" s="57" t="s">
        <v>1404</v>
      </c>
      <c r="E1" s="57" t="s">
        <v>1405</v>
      </c>
      <c r="F1" s="57" t="s">
        <v>1406</v>
      </c>
      <c r="G1" s="57" t="s">
        <v>28</v>
      </c>
      <c r="H1" s="57" t="s">
        <v>1407</v>
      </c>
      <c r="I1" s="57" t="s">
        <v>1408</v>
      </c>
      <c r="J1" s="57" t="s">
        <v>1409</v>
      </c>
      <c r="K1" s="57" t="s">
        <v>1410</v>
      </c>
      <c r="L1" s="57" t="s">
        <v>1411</v>
      </c>
    </row>
    <row r="2" spans="1:12">
      <c r="A2" s="55" t="s">
        <v>1412</v>
      </c>
      <c r="B2" s="56">
        <v>202111</v>
      </c>
      <c r="C2" s="55" t="s">
        <v>180</v>
      </c>
      <c r="D2" s="56">
        <v>463</v>
      </c>
      <c r="E2" s="56">
        <v>2340</v>
      </c>
      <c r="F2" s="56">
        <v>45</v>
      </c>
      <c r="G2" s="56">
        <v>9.720000000000001</v>
      </c>
      <c r="H2" s="56">
        <v>129</v>
      </c>
      <c r="I2" s="56">
        <v>5.51</v>
      </c>
      <c r="J2" s="56">
        <v>30</v>
      </c>
      <c r="K2" s="56">
        <v>1.28</v>
      </c>
      <c r="L2" s="56">
        <v>26.9</v>
      </c>
    </row>
    <row r="3" spans="1:12">
      <c r="A3" s="55" t="s">
        <v>1413</v>
      </c>
      <c r="B3" s="56">
        <v>202112</v>
      </c>
      <c r="C3" s="55" t="s">
        <v>190</v>
      </c>
      <c r="D3" s="56">
        <v>466</v>
      </c>
      <c r="E3" s="56">
        <v>2452</v>
      </c>
      <c r="F3" s="56">
        <v>44</v>
      </c>
      <c r="G3" s="56">
        <v>9.44</v>
      </c>
      <c r="H3" s="56">
        <v>109</v>
      </c>
      <c r="I3" s="56">
        <v>4.45</v>
      </c>
      <c r="J3" s="56">
        <v>36</v>
      </c>
      <c r="K3" s="56">
        <v>1.47</v>
      </c>
      <c r="L3" s="56">
        <v>24</v>
      </c>
    </row>
    <row r="4" spans="1:12">
      <c r="A4" s="55" t="s">
        <v>1414</v>
      </c>
      <c r="B4" s="56">
        <v>202201</v>
      </c>
      <c r="C4" s="55" t="s">
        <v>30</v>
      </c>
      <c r="D4" s="56">
        <v>475</v>
      </c>
      <c r="E4" s="56">
        <v>2629</v>
      </c>
      <c r="F4" s="56">
        <v>46</v>
      </c>
      <c r="G4" s="56">
        <v>9.68</v>
      </c>
      <c r="H4" s="56">
        <v>109</v>
      </c>
      <c r="I4" s="56">
        <v>4.15</v>
      </c>
      <c r="J4" s="56">
        <v>39</v>
      </c>
      <c r="K4" s="56">
        <v>1.48</v>
      </c>
      <c r="L4" s="56">
        <v>22.5</v>
      </c>
    </row>
    <row r="5" spans="1:12">
      <c r="A5" s="55" t="s">
        <v>1415</v>
      </c>
      <c r="B5" s="56">
        <v>202202</v>
      </c>
      <c r="C5" s="55" t="s">
        <v>191</v>
      </c>
      <c r="D5" s="56">
        <v>483</v>
      </c>
      <c r="E5" s="56">
        <v>2628</v>
      </c>
      <c r="F5" s="56">
        <v>45</v>
      </c>
      <c r="G5" s="56">
        <v>9.32</v>
      </c>
      <c r="H5" s="56">
        <v>104</v>
      </c>
      <c r="I5" s="56">
        <v>3.96</v>
      </c>
      <c r="J5" s="56">
        <v>57</v>
      </c>
      <c r="K5" s="56">
        <v>2.17</v>
      </c>
      <c r="L5" s="56">
        <v>21.6</v>
      </c>
    </row>
    <row r="6" spans="1:12">
      <c r="A6" s="55" t="s">
        <v>1416</v>
      </c>
      <c r="B6" s="56">
        <v>202203</v>
      </c>
      <c r="C6" s="55" t="s">
        <v>192</v>
      </c>
      <c r="D6" s="56">
        <v>484</v>
      </c>
      <c r="E6" s="56">
        <v>2811</v>
      </c>
      <c r="F6" s="56">
        <v>44</v>
      </c>
      <c r="G6" s="56">
        <v>9.09</v>
      </c>
      <c r="H6" s="56">
        <v>97</v>
      </c>
      <c r="I6" s="56">
        <v>3.45</v>
      </c>
      <c r="J6" s="56">
        <v>45</v>
      </c>
      <c r="K6" s="56">
        <v>1.6</v>
      </c>
      <c r="L6" s="56">
        <v>19.5</v>
      </c>
    </row>
    <row r="7" spans="1:12">
      <c r="A7" s="55" t="s">
        <v>1417</v>
      </c>
      <c r="B7" s="56">
        <v>202204</v>
      </c>
      <c r="C7" s="55" t="s">
        <v>31</v>
      </c>
      <c r="D7" s="56">
        <v>493</v>
      </c>
      <c r="E7" s="56">
        <v>3027</v>
      </c>
      <c r="F7" s="56">
        <v>50</v>
      </c>
      <c r="G7" s="56">
        <v>10.14</v>
      </c>
      <c r="H7" s="56">
        <v>115</v>
      </c>
      <c r="I7" s="56">
        <v>3.8</v>
      </c>
      <c r="J7" s="56">
        <v>66</v>
      </c>
      <c r="K7" s="56">
        <v>2.18</v>
      </c>
      <c r="L7" s="56">
        <v>20.6</v>
      </c>
    </row>
    <row r="8" spans="1:12">
      <c r="A8" s="55" t="s">
        <v>1418</v>
      </c>
      <c r="B8" s="56">
        <v>202205</v>
      </c>
      <c r="C8" s="55" t="s">
        <v>193</v>
      </c>
      <c r="D8" s="56">
        <v>493</v>
      </c>
      <c r="E8" s="56">
        <v>2994</v>
      </c>
      <c r="F8" s="56">
        <v>54</v>
      </c>
      <c r="G8" s="56">
        <v>10.95</v>
      </c>
      <c r="H8" s="56">
        <v>118</v>
      </c>
      <c r="I8" s="56">
        <v>3.94</v>
      </c>
      <c r="J8" s="56">
        <v>34</v>
      </c>
      <c r="K8" s="56">
        <v>1.14</v>
      </c>
      <c r="L8" s="56">
        <v>20.8</v>
      </c>
    </row>
    <row r="9" spans="1:12">
      <c r="A9" s="55" t="s">
        <v>1419</v>
      </c>
      <c r="B9" s="56">
        <v>202206</v>
      </c>
      <c r="C9" s="55" t="s">
        <v>194</v>
      </c>
      <c r="D9" s="56">
        <v>499</v>
      </c>
      <c r="E9" s="56">
        <v>3129</v>
      </c>
      <c r="F9" s="56">
        <v>52</v>
      </c>
      <c r="G9" s="56">
        <v>10.42</v>
      </c>
      <c r="H9" s="56">
        <v>113</v>
      </c>
      <c r="I9" s="56">
        <v>3.61</v>
      </c>
      <c r="J9" s="56">
        <v>45</v>
      </c>
      <c r="K9" s="56">
        <v>1.44</v>
      </c>
      <c r="L9" s="56">
        <v>20.4</v>
      </c>
    </row>
    <row r="10" spans="1:12">
      <c r="A10" s="55" t="s">
        <v>1420</v>
      </c>
      <c r="B10" s="56">
        <v>202207</v>
      </c>
      <c r="C10" s="55" t="s">
        <v>32</v>
      </c>
      <c r="D10" s="56">
        <v>504</v>
      </c>
      <c r="E10" s="56">
        <v>3112</v>
      </c>
      <c r="F10" s="56">
        <v>53</v>
      </c>
      <c r="G10" s="56">
        <v>10.52</v>
      </c>
      <c r="H10" s="56">
        <v>111</v>
      </c>
      <c r="I10" s="56">
        <v>3.57</v>
      </c>
      <c r="J10" s="56">
        <v>74</v>
      </c>
      <c r="K10" s="56">
        <v>2.38</v>
      </c>
      <c r="L10" s="56">
        <v>21.1</v>
      </c>
    </row>
    <row r="11" spans="1:12">
      <c r="A11" s="55" t="s">
        <v>1421</v>
      </c>
      <c r="B11" s="56">
        <v>202208</v>
      </c>
      <c r="C11" s="55" t="s">
        <v>195</v>
      </c>
      <c r="D11" s="56">
        <v>510</v>
      </c>
      <c r="E11" s="56">
        <v>2702</v>
      </c>
      <c r="F11" s="56">
        <v>54</v>
      </c>
      <c r="G11" s="56">
        <v>10.59</v>
      </c>
      <c r="H11" s="56">
        <v>108</v>
      </c>
      <c r="I11" s="56">
        <v>4</v>
      </c>
      <c r="J11" s="56">
        <v>46</v>
      </c>
      <c r="K11" s="56">
        <v>1.7</v>
      </c>
      <c r="L11" s="56">
        <v>23.5</v>
      </c>
    </row>
    <row r="12" spans="1:12">
      <c r="A12" s="55" t="s">
        <v>1422</v>
      </c>
      <c r="B12" s="56">
        <v>202209</v>
      </c>
      <c r="C12" s="55" t="s">
        <v>196</v>
      </c>
      <c r="D12" s="56">
        <v>518</v>
      </c>
      <c r="E12" s="56">
        <v>2306</v>
      </c>
      <c r="F12" s="56">
        <v>51</v>
      </c>
      <c r="G12" s="56">
        <v>9.85</v>
      </c>
      <c r="H12" s="56">
        <v>100</v>
      </c>
      <c r="I12" s="56">
        <v>4.34</v>
      </c>
      <c r="J12" s="56">
        <v>103</v>
      </c>
      <c r="K12" s="56">
        <v>4.47</v>
      </c>
      <c r="L12" s="56">
        <v>26.3</v>
      </c>
    </row>
    <row r="13" spans="1:12">
      <c r="A13" s="55" t="s">
        <v>1423</v>
      </c>
      <c r="B13" s="56">
        <v>202210</v>
      </c>
      <c r="C13" s="55" t="s">
        <v>33</v>
      </c>
      <c r="D13" s="56">
        <v>523</v>
      </c>
      <c r="E13" s="56">
        <v>1886</v>
      </c>
      <c r="F13" s="56">
        <v>50</v>
      </c>
      <c r="G13" s="56">
        <v>9.56</v>
      </c>
      <c r="H13" s="56">
        <v>102</v>
      </c>
      <c r="I13" s="56">
        <v>5.41</v>
      </c>
      <c r="J13" s="56">
        <v>119</v>
      </c>
      <c r="K13" s="56">
        <v>6.31</v>
      </c>
      <c r="L13" s="56">
        <v>32.6</v>
      </c>
    </row>
    <row r="14" spans="1:12">
      <c r="A14" s="55" t="s">
        <v>1424</v>
      </c>
      <c r="B14" s="56">
        <v>202211</v>
      </c>
      <c r="C14" s="55" t="s">
        <v>197</v>
      </c>
      <c r="D14" s="56">
        <v>527</v>
      </c>
      <c r="E14" s="56">
        <v>1774</v>
      </c>
      <c r="F14" s="56">
        <v>52</v>
      </c>
      <c r="G14" s="56">
        <v>9.869999999999999</v>
      </c>
      <c r="H14" s="56">
        <v>106</v>
      </c>
      <c r="I14" s="56">
        <v>5.98</v>
      </c>
      <c r="J14" s="56">
        <v>34</v>
      </c>
      <c r="K14" s="56">
        <v>1.92</v>
      </c>
      <c r="L14" s="56">
        <v>36.1</v>
      </c>
    </row>
    <row r="15" spans="1:12">
      <c r="A15" s="55" t="s">
        <v>1425</v>
      </c>
      <c r="B15" s="56">
        <v>202212</v>
      </c>
      <c r="C15" s="55" t="s">
        <v>198</v>
      </c>
      <c r="D15" s="56">
        <v>531</v>
      </c>
      <c r="E15" s="56">
        <v>1969</v>
      </c>
      <c r="F15" s="56">
        <v>54</v>
      </c>
      <c r="G15" s="56">
        <v>10.17</v>
      </c>
      <c r="H15" s="56">
        <v>110</v>
      </c>
      <c r="I15" s="56">
        <v>5.59</v>
      </c>
      <c r="J15" s="56">
        <v>75</v>
      </c>
      <c r="K15" s="56">
        <v>3.81</v>
      </c>
      <c r="L15" s="56">
        <v>34.4</v>
      </c>
    </row>
    <row r="16" spans="1:12">
      <c r="A16" s="55" t="s">
        <v>1426</v>
      </c>
      <c r="B16" s="56">
        <v>202301</v>
      </c>
      <c r="C16" s="55" t="s">
        <v>34</v>
      </c>
      <c r="D16" s="56">
        <v>532</v>
      </c>
      <c r="E16" s="56">
        <v>1985</v>
      </c>
      <c r="F16" s="56">
        <v>57</v>
      </c>
      <c r="G16" s="56">
        <v>10.71</v>
      </c>
      <c r="H16" s="56">
        <v>115</v>
      </c>
      <c r="I16" s="56">
        <v>5.79</v>
      </c>
      <c r="J16" s="56">
        <v>74</v>
      </c>
      <c r="K16" s="56">
        <v>3.73</v>
      </c>
      <c r="L16" s="56">
        <v>35.1</v>
      </c>
    </row>
    <row r="17" spans="1:12">
      <c r="A17" s="55" t="s">
        <v>1427</v>
      </c>
      <c r="B17" s="56">
        <v>202302</v>
      </c>
      <c r="C17" s="55" t="s">
        <v>199</v>
      </c>
      <c r="D17" s="56">
        <v>535</v>
      </c>
      <c r="E17" s="56">
        <v>2026</v>
      </c>
      <c r="F17" s="56">
        <v>60</v>
      </c>
      <c r="G17" s="56">
        <v>11.21</v>
      </c>
      <c r="H17" s="56">
        <v>122</v>
      </c>
      <c r="I17" s="56">
        <v>6.02</v>
      </c>
      <c r="J17" s="56">
        <v>95</v>
      </c>
      <c r="K17" s="56">
        <v>4.69</v>
      </c>
      <c r="L17" s="56">
        <v>36.1</v>
      </c>
    </row>
    <row r="18" spans="1:12">
      <c r="A18" s="55" t="s">
        <v>1428</v>
      </c>
      <c r="B18" s="56">
        <v>202303</v>
      </c>
      <c r="C18" s="55" t="s">
        <v>200</v>
      </c>
      <c r="D18" s="56">
        <v>540</v>
      </c>
      <c r="E18" s="56">
        <v>2054</v>
      </c>
      <c r="F18" s="56">
        <v>59</v>
      </c>
      <c r="G18" s="56">
        <v>10.93</v>
      </c>
      <c r="H18" s="56">
        <v>123</v>
      </c>
      <c r="I18" s="56">
        <v>5.99</v>
      </c>
      <c r="J18" s="56">
        <v>88</v>
      </c>
      <c r="K18" s="56">
        <v>4.28</v>
      </c>
      <c r="L18" s="56">
        <v>36.6</v>
      </c>
    </row>
    <row r="19" spans="1:12">
      <c r="A19" s="55" t="s">
        <v>1429</v>
      </c>
      <c r="B19" s="56">
        <v>202304</v>
      </c>
      <c r="C19" s="55" t="s">
        <v>35</v>
      </c>
      <c r="D19" s="56">
        <v>546</v>
      </c>
      <c r="E19" s="56">
        <v>2024</v>
      </c>
      <c r="F19" s="56">
        <v>64</v>
      </c>
      <c r="G19" s="56">
        <v>11.72</v>
      </c>
      <c r="H19" s="56">
        <v>149</v>
      </c>
      <c r="I19" s="56">
        <v>7.36</v>
      </c>
      <c r="J19" s="56">
        <v>59</v>
      </c>
      <c r="K19" s="56">
        <v>2.92</v>
      </c>
      <c r="L19" s="56">
        <v>38.7</v>
      </c>
    </row>
    <row r="20" spans="1:12">
      <c r="A20" s="55" t="s">
        <v>1430</v>
      </c>
      <c r="B20" s="56">
        <v>202305</v>
      </c>
      <c r="C20" s="55" t="s">
        <v>201</v>
      </c>
      <c r="D20" s="56">
        <v>548</v>
      </c>
      <c r="E20" s="56">
        <v>2114</v>
      </c>
      <c r="F20" s="56">
        <v>62</v>
      </c>
      <c r="G20" s="56">
        <v>11.31</v>
      </c>
      <c r="H20" s="56">
        <v>157</v>
      </c>
      <c r="I20" s="56">
        <v>7.43</v>
      </c>
      <c r="J20" s="56">
        <v>76</v>
      </c>
      <c r="K20" s="56">
        <v>3.6</v>
      </c>
      <c r="L20" s="56">
        <v>37.7</v>
      </c>
    </row>
    <row r="21" spans="1:12">
      <c r="A21" s="55" t="s">
        <v>1431</v>
      </c>
      <c r="B21" s="56">
        <v>202306</v>
      </c>
      <c r="C21" s="55" t="s">
        <v>202</v>
      </c>
      <c r="D21" s="56">
        <v>551</v>
      </c>
      <c r="E21" s="56">
        <v>2113</v>
      </c>
      <c r="F21" s="56">
        <v>64</v>
      </c>
      <c r="G21" s="56">
        <v>11.62</v>
      </c>
      <c r="H21" s="56">
        <v>159</v>
      </c>
      <c r="I21" s="56">
        <v>7.52</v>
      </c>
      <c r="J21" s="56">
        <v>93</v>
      </c>
      <c r="K21" s="56">
        <v>4.4</v>
      </c>
      <c r="L21" s="56">
        <v>38.3</v>
      </c>
    </row>
    <row r="22" spans="1:12">
      <c r="A22" s="55" t="s">
        <v>1432</v>
      </c>
      <c r="B22" s="56">
        <v>202307</v>
      </c>
      <c r="C22" s="55" t="s">
        <v>36</v>
      </c>
      <c r="D22" s="56">
        <v>557</v>
      </c>
      <c r="E22" s="56">
        <v>2156</v>
      </c>
      <c r="F22" s="56">
        <v>65</v>
      </c>
      <c r="G22" s="56">
        <v>11.67</v>
      </c>
      <c r="H22" s="56">
        <v>165</v>
      </c>
      <c r="I22" s="56">
        <v>7.65</v>
      </c>
      <c r="J22" s="56">
        <v>115</v>
      </c>
      <c r="K22" s="56">
        <v>5.33</v>
      </c>
      <c r="L22" s="56">
        <v>41.2</v>
      </c>
    </row>
    <row r="23" spans="1:12">
      <c r="A23" s="55" t="s">
        <v>1433</v>
      </c>
      <c r="B23" s="56">
        <v>202308</v>
      </c>
      <c r="C23" s="55" t="s">
        <v>203</v>
      </c>
      <c r="D23" s="56">
        <v>564</v>
      </c>
      <c r="E23" s="56">
        <v>2225</v>
      </c>
      <c r="F23" s="56">
        <v>65</v>
      </c>
      <c r="G23" s="56">
        <v>11.52</v>
      </c>
      <c r="H23" s="56">
        <v>163</v>
      </c>
      <c r="I23" s="56">
        <v>7.33</v>
      </c>
      <c r="J23" s="56">
        <v>111</v>
      </c>
      <c r="K23" s="56">
        <v>4.99</v>
      </c>
      <c r="L23" s="56">
        <v>40.8</v>
      </c>
    </row>
    <row r="24" spans="1:12">
      <c r="A24" s="55" t="s">
        <v>1434</v>
      </c>
      <c r="B24" s="56">
        <v>202309</v>
      </c>
      <c r="C24" s="55" t="s">
        <v>204</v>
      </c>
      <c r="D24" s="56">
        <v>572</v>
      </c>
      <c r="E24" s="56">
        <v>2259</v>
      </c>
      <c r="F24" s="56">
        <v>71</v>
      </c>
      <c r="G24" s="56">
        <v>12.41</v>
      </c>
      <c r="H24" s="56">
        <v>186</v>
      </c>
      <c r="I24" s="56">
        <v>8.23</v>
      </c>
      <c r="J24" s="56">
        <v>126</v>
      </c>
      <c r="K24" s="56">
        <v>5.58</v>
      </c>
      <c r="L24" s="56">
        <v>42.2</v>
      </c>
    </row>
    <row r="25" spans="1:12">
      <c r="A25" s="55" t="s">
        <v>1435</v>
      </c>
      <c r="B25" s="56">
        <v>202310</v>
      </c>
      <c r="C25" s="55" t="s">
        <v>37</v>
      </c>
      <c r="D25" s="56">
        <v>455</v>
      </c>
      <c r="E25" s="56">
        <v>1484</v>
      </c>
      <c r="F25" s="56">
        <v>53</v>
      </c>
      <c r="G25" s="56">
        <v>11.65</v>
      </c>
      <c r="H25" s="56">
        <v>162</v>
      </c>
      <c r="I25" s="56">
        <v>10.92</v>
      </c>
      <c r="J25" s="56">
        <v>47</v>
      </c>
      <c r="K25" s="56">
        <v>3.17</v>
      </c>
      <c r="L25" s="56">
        <v>51.8</v>
      </c>
    </row>
  </sheetData>
  <autoFilter ref="A1:L25"/>
  <pageMargins left="0.7" right="0.7" top="0.75" bottom="0.75" header="0.3" footer="0.3"/>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_src</vt:lpstr>
      <vt:lpstr>1. Ringkasan</vt:lpstr>
      <vt:lpstr>2. Matrix Report</vt:lpstr>
      <vt:lpstr>3. Segmentasi</vt:lpstr>
      <vt:lpstr>4. Scorecard</vt:lpstr>
      <vt:lpstr>5. Tren Portofolio</vt:lpstr>
      <vt:lpstr>6. Demografi</vt:lpstr>
      <vt:lpstr>7. Simulasi Kebijakan</vt:lpstr>
      <vt:lpstr>Kamus Metrik</vt:lpstr>
      <vt:lpstr>Catatan &amp; Asumsi</vt:lpstr>
      <vt:lpstr>data_agregat</vt:lpstr>
      <vt:lpstr>data_customer</vt:lpstr>
      <vt:lpstr>data_tren</vt:lpstr>
      <vt:lpstr>'1. Ringkasan'!Print_Area</vt:lpstr>
      <vt:lpstr>'2. Matrix Report'!Print_Area</vt:lpstr>
      <vt:lpstr>'3. Segmentasi'!Print_Area</vt:lpstr>
      <vt:lpstr>'4. Scorecard'!Print_Area</vt:lpstr>
      <vt:lpstr>'5. Tren Portofolio'!Print_Area</vt:lpstr>
      <vt:lpstr>'6. Demografi'!Print_Area</vt:lpstr>
      <vt:lpstr>'7. Simulasi Kebijakan'!Print_Area</vt:lpstr>
      <vt:lpstr>_src!Print_Area</vt:lpstr>
      <vt:lpstr>'Catatan &amp; Asumsi'!Print_Area</vt:lpstr>
      <vt:lpstr>'Kamus Metrik'!Print_Area</vt:lpstr>
      <vt:lpstr>'Kamus Metrik'!Print_Titles</vt:lpstr>
    </vt:vector>
  </TitlesOfParts>
  <Company>Bank Jago (technical test submission)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SLIK Analysis Dashboard - Risk Data Analyst Intern Technical Test</dc:title>
  <dc:subject>Analisis SLIK aggregated table, posisi aplikasi November 2023</dc:subject>
  <dc:creator>Achmad Ardani Prasha</dc:creator>
  <cp:lastModifiedBy>Achmad Ardani Prasha</cp:lastModifiedBy>
  <dcterms:created xsi:type="dcterms:W3CDTF">2026-08-23T05:50:38Z</dcterms:created>
  <dcterms:modified xsi:type="dcterms:W3CDTF">2026-08-23T05:50:38Z</dcterms:modified>
</cp:coreProperties>
</file>